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C21F0451-826C-4026-AFAE-88ED59DC93B2}" xr6:coauthVersionLast="47" xr6:coauthVersionMax="47" xr10:uidLastSave="{00000000-0000-0000-0000-000000000000}"/>
  <bookViews>
    <workbookView xWindow="-110" yWindow="-110" windowWidth="19420" windowHeight="10300" xr2:uid="{2345C440-0C6F-4619-85A6-0A3A1C9681D4}"/>
  </bookViews>
  <sheets>
    <sheet name="Warehouse Stock Report" sheetId="1" r:id="rId1"/>
    <sheet name="System Report" sheetId="2" r:id="rId2"/>
    <sheet name="phy vs system" sheetId="3" r:id="rId3"/>
    <sheet name="pending supply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62" i="3" l="1"/>
  <c r="AP62" i="3"/>
  <c r="AR61" i="3"/>
  <c r="AQ61" i="3"/>
  <c r="AP61" i="3"/>
  <c r="AQ60" i="3"/>
  <c r="AP60" i="3"/>
  <c r="AQ59" i="3"/>
  <c r="AP59" i="3"/>
  <c r="AC48" i="3"/>
  <c r="L45" i="3"/>
  <c r="L47" i="3" s="1"/>
  <c r="AU43" i="3"/>
  <c r="AS43" i="3"/>
  <c r="AR43" i="3"/>
  <c r="AQ43" i="3"/>
  <c r="AP43" i="3"/>
  <c r="AO43" i="3"/>
  <c r="AM43" i="3"/>
  <c r="AL43" i="3"/>
  <c r="AK43" i="3"/>
  <c r="AJ43" i="3"/>
  <c r="AI43" i="3"/>
  <c r="AF43" i="3"/>
  <c r="AE43" i="3"/>
  <c r="AD43" i="3"/>
  <c r="AC43" i="3"/>
  <c r="AB43" i="3"/>
  <c r="AA43" i="3"/>
  <c r="Z43" i="3"/>
  <c r="X43" i="3"/>
  <c r="W43" i="3"/>
  <c r="U43" i="3"/>
  <c r="T43" i="3"/>
  <c r="S43" i="3"/>
  <c r="R43" i="3"/>
  <c r="Q43" i="3"/>
  <c r="P43" i="3"/>
  <c r="O43" i="3"/>
  <c r="N43" i="3"/>
  <c r="M43" i="3"/>
  <c r="K43" i="3"/>
  <c r="J43" i="3"/>
  <c r="I43" i="3"/>
  <c r="H43" i="3"/>
  <c r="G43" i="3"/>
  <c r="F43" i="3"/>
  <c r="E43" i="3"/>
  <c r="D43" i="3"/>
  <c r="AT42" i="3"/>
  <c r="AN42" i="3"/>
  <c r="AG42" i="3"/>
  <c r="AH42" i="3" s="1"/>
  <c r="V42" i="3"/>
  <c r="L42" i="3"/>
  <c r="AT41" i="3"/>
  <c r="AN41" i="3"/>
  <c r="AG41" i="3"/>
  <c r="V41" i="3"/>
  <c r="L41" i="3"/>
  <c r="AT40" i="3"/>
  <c r="AN40" i="3"/>
  <c r="AG40" i="3"/>
  <c r="V40" i="3"/>
  <c r="L40" i="3"/>
  <c r="AT39" i="3"/>
  <c r="AN39" i="3"/>
  <c r="AG39" i="3"/>
  <c r="AH39" i="3" s="1"/>
  <c r="V39" i="3"/>
  <c r="L39" i="3"/>
  <c r="AT38" i="3"/>
  <c r="AN38" i="3"/>
  <c r="AG38" i="3"/>
  <c r="V38" i="3"/>
  <c r="L38" i="3"/>
  <c r="AT37" i="3"/>
  <c r="AN37" i="3"/>
  <c r="AG37" i="3"/>
  <c r="V37" i="3"/>
  <c r="L37" i="3"/>
  <c r="AT36" i="3"/>
  <c r="AN36" i="3"/>
  <c r="AG36" i="3"/>
  <c r="AH36" i="3" s="1"/>
  <c r="V36" i="3"/>
  <c r="L36" i="3"/>
  <c r="AT35" i="3"/>
  <c r="AN35" i="3"/>
  <c r="AG35" i="3"/>
  <c r="V35" i="3"/>
  <c r="L35" i="3"/>
  <c r="AT34" i="3"/>
  <c r="AN34" i="3"/>
  <c r="AG34" i="3"/>
  <c r="V34" i="3"/>
  <c r="L34" i="3"/>
  <c r="AT33" i="3"/>
  <c r="AN33" i="3"/>
  <c r="AG33" i="3"/>
  <c r="V33" i="3"/>
  <c r="L33" i="3"/>
  <c r="AT32" i="3"/>
  <c r="AN32" i="3"/>
  <c r="AG32" i="3"/>
  <c r="V32" i="3"/>
  <c r="L32" i="3"/>
  <c r="AT31" i="3"/>
  <c r="AN31" i="3"/>
  <c r="AG31" i="3"/>
  <c r="V31" i="3"/>
  <c r="L31" i="3"/>
  <c r="AT30" i="3"/>
  <c r="AN30" i="3"/>
  <c r="AG30" i="3"/>
  <c r="V30" i="3"/>
  <c r="L30" i="3"/>
  <c r="AT29" i="3"/>
  <c r="AN29" i="3"/>
  <c r="AG29" i="3"/>
  <c r="V29" i="3"/>
  <c r="L29" i="3"/>
  <c r="AT28" i="3"/>
  <c r="AN28" i="3"/>
  <c r="AG28" i="3"/>
  <c r="V28" i="3"/>
  <c r="L28" i="3"/>
  <c r="AT27" i="3"/>
  <c r="AN27" i="3"/>
  <c r="AG27" i="3"/>
  <c r="V27" i="3"/>
  <c r="L27" i="3"/>
  <c r="AT26" i="3"/>
  <c r="AN26" i="3"/>
  <c r="AG26" i="3"/>
  <c r="V26" i="3"/>
  <c r="L26" i="3"/>
  <c r="AT25" i="3"/>
  <c r="AN25" i="3"/>
  <c r="AG25" i="3"/>
  <c r="V25" i="3"/>
  <c r="L25" i="3"/>
  <c r="AT24" i="3"/>
  <c r="AN24" i="3"/>
  <c r="AG24" i="3"/>
  <c r="AD3" i="3" s="1"/>
  <c r="V24" i="3"/>
  <c r="L24" i="3"/>
  <c r="AT23" i="3"/>
  <c r="AN23" i="3"/>
  <c r="AG23" i="3"/>
  <c r="V23" i="3"/>
  <c r="L23" i="3"/>
  <c r="AT22" i="3"/>
  <c r="AN22" i="3"/>
  <c r="AG22" i="3"/>
  <c r="V22" i="3"/>
  <c r="L22" i="3"/>
  <c r="AT21" i="3"/>
  <c r="AN21" i="3"/>
  <c r="AG21" i="3"/>
  <c r="V21" i="3"/>
  <c r="L21" i="3"/>
  <c r="AT20" i="3"/>
  <c r="AN20" i="3"/>
  <c r="AG20" i="3"/>
  <c r="V20" i="3"/>
  <c r="L20" i="3"/>
  <c r="AT19" i="3"/>
  <c r="AN19" i="3"/>
  <c r="AG19" i="3"/>
  <c r="V19" i="3"/>
  <c r="L19" i="3"/>
  <c r="AT18" i="3"/>
  <c r="AN18" i="3"/>
  <c r="AG18" i="3"/>
  <c r="V18" i="3"/>
  <c r="L18" i="3"/>
  <c r="AT17" i="3"/>
  <c r="AN17" i="3"/>
  <c r="AA2" i="3"/>
  <c r="AC2" i="3" s="1"/>
  <c r="V17" i="3"/>
  <c r="L17" i="3"/>
  <c r="AT16" i="3"/>
  <c r="AN16" i="3"/>
  <c r="AG16" i="3"/>
  <c r="V16" i="3"/>
  <c r="L16" i="3"/>
  <c r="AT15" i="3"/>
  <c r="AN15" i="3"/>
  <c r="AG15" i="3"/>
  <c r="V15" i="3"/>
  <c r="L15" i="3"/>
  <c r="AT14" i="3"/>
  <c r="AN14" i="3"/>
  <c r="AG14" i="3"/>
  <c r="V14" i="3"/>
  <c r="L14" i="3"/>
  <c r="AT13" i="3"/>
  <c r="AN13" i="3"/>
  <c r="AG13" i="3"/>
  <c r="V13" i="3"/>
  <c r="L13" i="3"/>
  <c r="L43" i="3" s="1"/>
  <c r="AT12" i="3"/>
  <c r="AN12" i="3"/>
  <c r="AG12" i="3"/>
  <c r="V12" i="3"/>
  <c r="L12" i="3"/>
  <c r="AT11" i="3"/>
  <c r="AN11" i="3"/>
  <c r="Y43" i="3"/>
  <c r="V11" i="3"/>
  <c r="L11" i="3"/>
  <c r="AT10" i="3"/>
  <c r="AN10" i="3"/>
  <c r="AG10" i="3"/>
  <c r="AH10" i="3" s="1"/>
  <c r="V10" i="3"/>
  <c r="L10" i="3"/>
  <c r="AT9" i="3"/>
  <c r="AN9" i="3"/>
  <c r="AG9" i="3"/>
  <c r="AH9" i="3" s="1"/>
  <c r="V9" i="3"/>
  <c r="L9" i="3"/>
  <c r="AT8" i="3"/>
  <c r="AN8" i="3"/>
  <c r="AG8" i="3"/>
  <c r="AH8" i="3" s="1"/>
  <c r="V8" i="3"/>
  <c r="L8" i="3"/>
  <c r="AT7" i="3"/>
  <c r="AT43" i="3" s="1"/>
  <c r="AN7" i="3"/>
  <c r="AN43" i="3" s="1"/>
  <c r="AG7" i="3"/>
  <c r="V7" i="3"/>
  <c r="V43" i="3" s="1"/>
  <c r="L7" i="3"/>
  <c r="AR3" i="3"/>
  <c r="Z3" i="3"/>
  <c r="Y3" i="3"/>
  <c r="AB2" i="3"/>
  <c r="W2" i="3"/>
  <c r="C2" i="3"/>
  <c r="AF3" i="3" l="1"/>
  <c r="AG3" i="3" s="1"/>
  <c r="AH20" i="3"/>
  <c r="AH31" i="3"/>
  <c r="AE2" i="3"/>
  <c r="AG11" i="3"/>
  <c r="AH11" i="3" s="1"/>
  <c r="AH43" i="3" s="1"/>
  <c r="AG17" i="3"/>
  <c r="AG43" i="3" l="1"/>
  <c r="E43" i="1" l="1"/>
  <c r="D43" i="1"/>
  <c r="E42" i="1"/>
  <c r="K42" i="1" s="1"/>
  <c r="D42" i="1"/>
  <c r="J42" i="1" s="1"/>
  <c r="E41" i="1"/>
  <c r="D41" i="1"/>
  <c r="E40" i="1"/>
  <c r="D40" i="1"/>
  <c r="E39" i="1"/>
  <c r="K39" i="1" s="1"/>
  <c r="D39" i="1"/>
  <c r="J39" i="1" s="1"/>
  <c r="E38" i="1"/>
  <c r="D38" i="1"/>
  <c r="J38" i="1" s="1"/>
  <c r="E37" i="1"/>
  <c r="D37" i="1"/>
  <c r="E36" i="1"/>
  <c r="K36" i="1" s="1"/>
  <c r="D36" i="1"/>
  <c r="J36" i="1" s="1"/>
  <c r="E35" i="1"/>
  <c r="D35" i="1"/>
  <c r="E34" i="1"/>
  <c r="D34" i="1"/>
  <c r="E33" i="1"/>
  <c r="D33" i="1"/>
  <c r="E32" i="1"/>
  <c r="D32" i="1"/>
  <c r="E31" i="1"/>
  <c r="K31" i="1" s="1"/>
  <c r="D31" i="1"/>
  <c r="J31" i="1" s="1"/>
  <c r="E30" i="1"/>
  <c r="D30" i="1"/>
  <c r="E29" i="1"/>
  <c r="D29" i="1"/>
  <c r="E28" i="1"/>
  <c r="K28" i="1" s="1"/>
  <c r="D28" i="1"/>
  <c r="J28" i="1" s="1"/>
  <c r="E27" i="1"/>
  <c r="D27" i="1"/>
  <c r="E26" i="1"/>
  <c r="D26" i="1"/>
  <c r="E25" i="1"/>
  <c r="K25" i="1" s="1"/>
  <c r="D25" i="1"/>
  <c r="J25" i="1" s="1"/>
  <c r="E24" i="1"/>
  <c r="D24" i="1"/>
  <c r="E23" i="1"/>
  <c r="D23" i="1"/>
  <c r="E22" i="1"/>
  <c r="K22" i="1" s="1"/>
  <c r="D22" i="1"/>
  <c r="J22" i="1" s="1"/>
  <c r="E21" i="1"/>
  <c r="K21" i="1" s="1"/>
  <c r="D21" i="1"/>
  <c r="E20" i="1"/>
  <c r="D20" i="1"/>
  <c r="E19" i="1"/>
  <c r="K19" i="1" s="1"/>
  <c r="D19" i="1"/>
  <c r="J19" i="1" s="1"/>
  <c r="E18" i="1"/>
  <c r="D18" i="1"/>
  <c r="J18" i="1" s="1"/>
  <c r="E17" i="1"/>
  <c r="D17" i="1"/>
  <c r="E16" i="1"/>
  <c r="K16" i="1" s="1"/>
  <c r="D16" i="1"/>
  <c r="E15" i="1"/>
  <c r="D15" i="1"/>
  <c r="E14" i="1"/>
  <c r="K14" i="1" s="1"/>
  <c r="D14" i="1"/>
  <c r="J14" i="1" s="1"/>
  <c r="E13" i="1"/>
  <c r="D13" i="1"/>
  <c r="J13" i="1" s="1"/>
  <c r="E12" i="1"/>
  <c r="D12" i="1"/>
  <c r="E11" i="1"/>
  <c r="K11" i="1" s="1"/>
  <c r="D11" i="1"/>
  <c r="J11" i="1" s="1"/>
  <c r="E10" i="1"/>
  <c r="D10" i="1"/>
  <c r="E9" i="1"/>
  <c r="D9" i="1"/>
  <c r="E8" i="1"/>
  <c r="K8" i="1" s="1"/>
  <c r="D8" i="1"/>
  <c r="J8" i="1" s="1"/>
  <c r="E7" i="1"/>
  <c r="D7" i="1"/>
  <c r="E6" i="1"/>
  <c r="D6" i="1"/>
  <c r="E5" i="1"/>
  <c r="K5" i="1" s="1"/>
  <c r="D5" i="1"/>
  <c r="J5" i="1" s="1"/>
  <c r="E4" i="1"/>
  <c r="D4" i="1"/>
  <c r="E3" i="1"/>
  <c r="D3" i="1"/>
  <c r="J4" i="1" l="1"/>
  <c r="J16" i="1"/>
  <c r="J24" i="1"/>
  <c r="J27" i="1"/>
  <c r="J30" i="1"/>
  <c r="J33" i="1"/>
  <c r="J41" i="1"/>
  <c r="K7" i="1"/>
  <c r="K24" i="1"/>
  <c r="K27" i="1"/>
  <c r="K30" i="1"/>
  <c r="K33" i="1"/>
  <c r="K35" i="1"/>
  <c r="K38" i="1"/>
  <c r="K41" i="1"/>
  <c r="K4" i="1"/>
  <c r="K10" i="1"/>
  <c r="K18" i="1"/>
  <c r="J6" i="1"/>
  <c r="J12" i="1"/>
  <c r="J23" i="1"/>
  <c r="J32" i="1"/>
  <c r="J43" i="1"/>
  <c r="K6" i="1"/>
  <c r="K9" i="1"/>
  <c r="K12" i="1"/>
  <c r="K26" i="1"/>
  <c r="K32" i="1"/>
  <c r="J7" i="1"/>
  <c r="J10" i="1"/>
  <c r="J21" i="1"/>
  <c r="J35" i="1"/>
  <c r="K13" i="1"/>
  <c r="J3" i="1"/>
  <c r="J9" i="1"/>
  <c r="J15" i="1"/>
  <c r="J20" i="1"/>
  <c r="J26" i="1"/>
  <c r="J29" i="1"/>
  <c r="J37" i="1"/>
  <c r="J40" i="1"/>
  <c r="K3" i="1"/>
  <c r="K15" i="1"/>
  <c r="K20" i="1"/>
  <c r="K23" i="1"/>
  <c r="K29" i="1"/>
  <c r="K37" i="1"/>
  <c r="K40" i="1"/>
  <c r="K43" i="1"/>
</calcChain>
</file>

<file path=xl/sharedStrings.xml><?xml version="1.0" encoding="utf-8"?>
<sst xmlns="http://schemas.openxmlformats.org/spreadsheetml/2006/main" count="265" uniqueCount="106">
  <si>
    <t>C</t>
  </si>
  <si>
    <t>LAGOS WAREHOUSE</t>
  </si>
  <si>
    <t>OPENING STOCK</t>
  </si>
  <si>
    <t>RECEIVED STOCK</t>
  </si>
  <si>
    <t>ISSUED STOCK</t>
  </si>
  <si>
    <t>CLOSING STOCK</t>
  </si>
  <si>
    <t>ITEM_CODE</t>
  </si>
  <si>
    <t>ITEM_NAME</t>
  </si>
  <si>
    <t>UOM</t>
  </si>
  <si>
    <t>CASES</t>
  </si>
  <si>
    <t>BOTTLES</t>
  </si>
  <si>
    <t>BAILEYS ORIGINAL 70CL</t>
  </si>
  <si>
    <t>BLACK &amp; WHITE 70CL</t>
  </si>
  <si>
    <t>CAPTAIN MORGAN SPICED RUM 70CL</t>
  </si>
  <si>
    <t>CIROC ORIGINAL VODKA 1L</t>
  </si>
  <si>
    <t>CIROC PINEAPPLE 1L</t>
  </si>
  <si>
    <t>CIROC RED BERRY 1L</t>
  </si>
  <si>
    <t>Don Julio 1942 75CL</t>
  </si>
  <si>
    <t>DON JULIO BLANC 75cl</t>
  </si>
  <si>
    <t>DON JULIO RPSDO 75cl</t>
  </si>
  <si>
    <t>DON JULIO ANEJO 75CL</t>
  </si>
  <si>
    <t>GORDONS DRY GIN 70CL</t>
  </si>
  <si>
    <t>J &amp; B RARE WHISKY 20CL</t>
  </si>
  <si>
    <t>JOHNNY WALKER BLONDE</t>
  </si>
  <si>
    <t>JOHNNIE WALKER 18 YEARS 70CL</t>
  </si>
  <si>
    <t>JOHNNIE WALKER BLACK LABEL 70CL</t>
  </si>
  <si>
    <t>JOHNNIE WALKER BLACK LABEL POCKET SIZE 20CL</t>
  </si>
  <si>
    <t>JOHNNIE WALKER BLUE LABEL 70CL</t>
  </si>
  <si>
    <t>JOHNNIE WALKER GHOST &amp; RARE 70CL ( PORTDUND)</t>
  </si>
  <si>
    <t>JOHNNIE WALKER GOLD RESERVE 70CL</t>
  </si>
  <si>
    <t>JOHNNIE WALKER GREEN LABEL 15 YEARS 70CL</t>
  </si>
  <si>
    <t>JOHNNIE WALKER RED LABEL 70CL</t>
  </si>
  <si>
    <t>JOHNNIE WALKER RED LABEL POCKET SIZE 20CL</t>
  </si>
  <si>
    <t>KETEL ONE VODKA 1L</t>
  </si>
  <si>
    <t>SINGLETON 12 YEARS 70CL</t>
  </si>
  <si>
    <t>SINGLETON 15 YEARS 70CL</t>
  </si>
  <si>
    <t>SINGLETON 18 YEARS 70CL</t>
  </si>
  <si>
    <t>SMIRNOFF RED 20CL</t>
  </si>
  <si>
    <t>TANQUERAY 10 70CL</t>
  </si>
  <si>
    <t>WHITE HORSE FINE OLD 70CL</t>
  </si>
  <si>
    <t>ZACAPA CENT 23 75CL</t>
  </si>
  <si>
    <t>ZACAPA CENT XO 75CL</t>
  </si>
  <si>
    <t>JW DOUBLE BLACK 70CL</t>
  </si>
  <si>
    <t>CASAMIGOS REPOSADO 70CL</t>
  </si>
  <si>
    <t>CASAMIGOS BLANCO 70CL</t>
  </si>
  <si>
    <t>CASAMIGOS ANEJO 70CL</t>
  </si>
  <si>
    <t>DON JULIO 1942 MAGNUM</t>
  </si>
  <si>
    <t>BAILEYS STRAWBERRY 70CL</t>
  </si>
  <si>
    <t>Smirnoff Vodka 1LTR</t>
  </si>
  <si>
    <t>BAILEYS CARAMEL 70CL</t>
  </si>
  <si>
    <t xml:space="preserve">JW Black 37.5 </t>
  </si>
  <si>
    <t>Casamigos Magnum 1.7ltr</t>
  </si>
  <si>
    <t>AB01</t>
  </si>
  <si>
    <t>FG01</t>
  </si>
  <si>
    <t>HN01</t>
  </si>
  <si>
    <t>IK01</t>
  </si>
  <si>
    <t>LG01</t>
  </si>
  <si>
    <t>LG02</t>
  </si>
  <si>
    <t>LG04</t>
  </si>
  <si>
    <t>PH01</t>
  </si>
  <si>
    <t>SC01</t>
  </si>
  <si>
    <t>Total</t>
  </si>
  <si>
    <t>Stock in Cases</t>
  </si>
  <si>
    <t xml:space="preserve">CASAMIGOS REPOSADO 70CL </t>
  </si>
  <si>
    <t xml:space="preserve">JW DOUBLE BLACK 70CL </t>
  </si>
  <si>
    <t>DON JULIO 1942 75CL</t>
  </si>
  <si>
    <t>CASAMIGOS MAGNUM</t>
  </si>
  <si>
    <t>DON JULIO ANEJO</t>
  </si>
  <si>
    <t xml:space="preserve">CASAMIGOS BLANCO 70CL </t>
  </si>
  <si>
    <t xml:space="preserve">DON JULIO 1942 MAGNUM </t>
  </si>
  <si>
    <t>SMIRN OFF RED 1 L</t>
  </si>
  <si>
    <t xml:space="preserve">BAILEYS STRAWBERRY 70CL </t>
  </si>
  <si>
    <t xml:space="preserve">BAILEYS SALTED CARAMEL 70CL </t>
  </si>
  <si>
    <t>ITEM NAME</t>
  </si>
  <si>
    <t>Abuja</t>
  </si>
  <si>
    <t>PHC</t>
  </si>
  <si>
    <t>Lagos</t>
  </si>
  <si>
    <t>Benin</t>
  </si>
  <si>
    <t>LFZ</t>
  </si>
  <si>
    <t>Item Code</t>
  </si>
  <si>
    <t>Item Name</t>
  </si>
  <si>
    <t>Phy stock</t>
  </si>
  <si>
    <t>System stock</t>
  </si>
  <si>
    <t>STO PENG</t>
  </si>
  <si>
    <t>RESTRICTED</t>
  </si>
  <si>
    <t>Pending Supply</t>
  </si>
  <si>
    <t>damages</t>
  </si>
  <si>
    <t>sales return</t>
  </si>
  <si>
    <t>GRN</t>
  </si>
  <si>
    <t>Current Difference</t>
  </si>
  <si>
    <t>Remarks</t>
  </si>
  <si>
    <t>Sales retun</t>
  </si>
  <si>
    <t>Pending supply</t>
  </si>
  <si>
    <t>sto pending</t>
  </si>
  <si>
    <t>remarks</t>
  </si>
  <si>
    <t>Manual</t>
  </si>
  <si>
    <t>SALES RETURN</t>
  </si>
  <si>
    <t>STO pending</t>
  </si>
  <si>
    <t>grn to complete</t>
  </si>
  <si>
    <t>restrited</t>
  </si>
  <si>
    <t>sales retun</t>
  </si>
  <si>
    <t>Difference</t>
  </si>
  <si>
    <t>GRN PENDING</t>
  </si>
  <si>
    <t>SO PENDING</t>
  </si>
  <si>
    <t>1 bt need to pass damage which given to customer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</si>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</sst>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#,##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3" fillId="0" borderId="1" xfId="2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0" xfId="0" applyFill="1"/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0" fillId="0" borderId="4" xfId="0" applyBorder="1"/>
    <xf numFmtId="0" fontId="8" fillId="0" borderId="4" xfId="0" applyFont="1" applyBorder="1"/>
    <xf numFmtId="0" fontId="8" fillId="0" borderId="0" xfId="0" applyFont="1"/>
    <xf numFmtId="2" fontId="0" fillId="0" borderId="0" xfId="0" applyNumberFormat="1"/>
    <xf numFmtId="164" fontId="0" fillId="0" borderId="0" xfId="0" applyNumberFormat="1"/>
    <xf numFmtId="3" fontId="9" fillId="0" borderId="5" xfId="0" applyNumberFormat="1" applyFont="1" applyBorder="1"/>
    <xf numFmtId="4" fontId="0" fillId="0" borderId="0" xfId="0" applyNumberFormat="1"/>
    <xf numFmtId="43" fontId="0" fillId="0" borderId="0" xfId="0" applyNumberFormat="1"/>
    <xf numFmtId="0" fontId="5" fillId="0" borderId="0" xfId="0" applyFont="1"/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2" fontId="0" fillId="0" borderId="1" xfId="0" applyNumberFormat="1" applyBorder="1"/>
    <xf numFmtId="4" fontId="13" fillId="9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0" fillId="6" borderId="1" xfId="0" applyNumberForma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43" fontId="11" fillId="9" borderId="1" xfId="1" applyFont="1" applyFill="1" applyBorder="1"/>
    <xf numFmtId="1" fontId="0" fillId="0" borderId="1" xfId="0" applyNumberFormat="1" applyBorder="1"/>
    <xf numFmtId="4" fontId="5" fillId="0" borderId="1" xfId="0" applyNumberFormat="1" applyFont="1" applyBorder="1"/>
    <xf numFmtId="2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0" fillId="6" borderId="1" xfId="0" applyFill="1" applyBorder="1"/>
    <xf numFmtId="2" fontId="5" fillId="6" borderId="1" xfId="0" applyNumberFormat="1" applyFont="1" applyFill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1" fontId="0" fillId="0" borderId="0" xfId="0" applyNumberFormat="1"/>
    <xf numFmtId="165" fontId="0" fillId="10" borderId="1" xfId="0" applyNumberFormat="1" applyFill="1" applyBorder="1" applyAlignment="1">
      <alignment horizontal="center"/>
    </xf>
    <xf numFmtId="0" fontId="14" fillId="0" borderId="1" xfId="0" applyFont="1" applyBorder="1"/>
    <xf numFmtId="0" fontId="3" fillId="0" borderId="1" xfId="2" applyBorder="1" applyAlignment="1">
      <alignment horizontal="left" vertical="top"/>
    </xf>
    <xf numFmtId="0" fontId="6" fillId="0" borderId="1" xfId="0" applyFont="1" applyBorder="1"/>
    <xf numFmtId="0" fontId="15" fillId="0" borderId="1" xfId="0" applyFont="1" applyBorder="1"/>
    <xf numFmtId="4" fontId="15" fillId="0" borderId="1" xfId="0" applyNumberFormat="1" applyFont="1" applyBorder="1"/>
    <xf numFmtId="2" fontId="2" fillId="0" borderId="0" xfId="0" applyNumberFormat="1" applyFont="1"/>
    <xf numFmtId="4" fontId="16" fillId="0" borderId="0" xfId="0" applyNumberFormat="1" applyFont="1"/>
    <xf numFmtId="4" fontId="2" fillId="0" borderId="1" xfId="0" applyNumberFormat="1" applyFont="1" applyBorder="1"/>
    <xf numFmtId="4" fontId="2" fillId="0" borderId="0" xfId="0" applyNumberFormat="1" applyFont="1"/>
    <xf numFmtId="49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4" fontId="17" fillId="0" borderId="0" xfId="0" applyNumberFormat="1" applyFont="1" applyAlignment="1">
      <alignment vertical="center"/>
    </xf>
    <xf numFmtId="166" fontId="0" fillId="0" borderId="0" xfId="0" applyNumberFormat="1"/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A0D534F-FB9A-48E1-912F-285CA5F0AE25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hammed.iliyas/AppData/Local/Microsoft/Windows/INetCache/Content.Outlook/2MHC1X7H/Daily%20Stock%20Report%202026%20%20(3)%20(004).xlsx" TargetMode="External"/><Relationship Id="rId2" Type="http://schemas.openxmlformats.org/officeDocument/2006/relationships/externalLinkPath" Target="file:///C:\Users\mohammed.iliyas\AppData\Local\Microsoft\Windows\INetCache\Content.Outlook\2MHC1X7H\Daily%20Stock%20Report%202026%20%20(3)%20(004).xlsx" TargetMode="External"/><Relationship Id="rId1" Type="http://schemas.openxmlformats.org/officeDocument/2006/relationships/externalLinkPath" Target="/Users/mohammed.iliyas/AppData/Local/Microsoft/Windows/INetCache/Content.Outlook/2MHC1X7H/Daily%20Stock%20Report%202026%20%20(3)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 JAN"/>
      <sheetName val="7 jan"/>
      <sheetName val="8 jan"/>
      <sheetName val="9 jan"/>
      <sheetName val="10 jan"/>
      <sheetName val="12 jan"/>
      <sheetName val="13 jan"/>
      <sheetName val="14 Jan"/>
      <sheetName val="15 jan"/>
      <sheetName val="16 jan"/>
      <sheetName val="17 jan"/>
      <sheetName val="19 jan"/>
      <sheetName val="20 jan"/>
      <sheetName val="21 Jan"/>
      <sheetName val="22 jan"/>
      <sheetName val="23 jan"/>
      <sheetName val="24 jan"/>
      <sheetName val="26 Jan"/>
      <sheetName val="27 Jan"/>
      <sheetName val="28 Jan"/>
      <sheetName val="29 Jan"/>
      <sheetName val="30 Jan"/>
      <sheetName val="31 Jan"/>
      <sheetName val="FEB 02"/>
      <sheetName val="FEB 03"/>
      <sheetName val="FEB 04"/>
      <sheetName val="FEB 05"/>
      <sheetName val="FEB 06"/>
      <sheetName val="FEB 07"/>
      <sheetName val="FEB 09"/>
      <sheetName val="FEB 10"/>
      <sheetName val="FEB 11"/>
      <sheetName val="FEB 12"/>
      <sheetName val="FEB 13"/>
      <sheetName val="FEB 14"/>
      <sheetName val="FEB 16"/>
      <sheetName val="FEB 17"/>
      <sheetName val="FEB 18"/>
      <sheetName val="FEB 19"/>
      <sheetName val="FEB 20"/>
      <sheetName val="FEB 21"/>
      <sheetName val="FEB 23"/>
      <sheetName val="FEB 24"/>
      <sheetName val="FEB 25"/>
      <sheetName val="FEB 26"/>
      <sheetName val="FEB 27"/>
      <sheetName val="FEB 28"/>
      <sheetName val="MARCH 2"/>
      <sheetName val="MARCH 3rd"/>
      <sheetName val="MARCH 4th"/>
      <sheetName val="MARCH 5TH"/>
      <sheetName val="MARCH 6TH"/>
      <sheetName val="MARCH 7TH"/>
      <sheetName val="MARCH 9TH"/>
      <sheetName val="MARCH 10TH"/>
      <sheetName val="MARCH 11TH"/>
      <sheetName val="MARCH 12TH"/>
      <sheetName val="MARCH 13TH"/>
      <sheetName val="MARCH 14TH"/>
      <sheetName val="MARCH 16TH"/>
      <sheetName val="MARCH 17TH"/>
      <sheetName val="MARCH 18TH"/>
      <sheetName val="MARCH 19TH"/>
      <sheetName val="MARCH 23RD"/>
      <sheetName val="MARCH 24TH"/>
      <sheetName val="MARCH 25TH"/>
      <sheetName val="MARCH 26TH"/>
      <sheetName val="MAR 27TH"/>
      <sheetName val="MAR 28TH"/>
      <sheetName val="MAR 30TH"/>
      <sheetName val="MARCH 31st"/>
      <sheetName val="APRIL 1st"/>
      <sheetName val="APRIL 2ND"/>
      <sheetName val="APRIL 4TH"/>
      <sheetName val="APRIL 7th"/>
      <sheetName val="APRIL 8TH"/>
      <sheetName val="APRIL 9TH"/>
      <sheetName val="APRIL 10TH"/>
      <sheetName val="APRIL 11TH"/>
      <sheetName val="APRIL 13TH"/>
      <sheetName val="APRIL 14TH"/>
      <sheetName val="APRIL 15TH"/>
      <sheetName val="APRIL 16TH"/>
      <sheetName val="APRIL 17TH"/>
      <sheetName val="APRIL 18TH"/>
      <sheetName val="APRIL 20TH"/>
      <sheetName val="APRIL 21ST"/>
      <sheetName val="APRIL 22ND"/>
      <sheetName val="APRIL 23RD"/>
      <sheetName val="APRIL 24TH"/>
      <sheetName val="APRIL 25TH"/>
      <sheetName val="APRIL 27TH"/>
      <sheetName val="APRIL 28TH"/>
      <sheetName val="APRIL 29TH"/>
      <sheetName val="APRIL 30TH"/>
      <sheetName val="MAY 2ND"/>
      <sheetName val="MAY 4TH"/>
      <sheetName val="MAY 5TH"/>
      <sheetName val="MAY 6TH"/>
      <sheetName val="MAY 7TH"/>
      <sheetName val="MAY 8TH"/>
      <sheetName val="MAY 9TH"/>
      <sheetName val="MAY 11TH"/>
      <sheetName val="MAY 12TH"/>
      <sheetName val="MAY 13TH"/>
      <sheetName val="MAY 14TH"/>
      <sheetName val="MAY 15TH"/>
      <sheetName val="MAY 16TH"/>
      <sheetName val="MAY 18TH"/>
      <sheetName val="MAY 19TH"/>
      <sheetName val="MAY 20TH"/>
      <sheetName val="MAY 21ST"/>
      <sheetName val="MAY 22ND"/>
      <sheetName val="MAY 23RD"/>
      <sheetName val="MAY 25TH"/>
      <sheetName val="MAY 26TH"/>
      <sheetName val="MAY 27TH"/>
      <sheetName val="MAY 29TH"/>
      <sheetName val="MAY 30TH"/>
      <sheetName val="JUNE 1ST"/>
      <sheetName val="JUNE 2ND"/>
      <sheetName val="JUNE 3RD"/>
      <sheetName val="JUNE 4TH"/>
      <sheetName val="JUNE 5TH"/>
      <sheetName val="JUNE 6TH"/>
      <sheetName val="JUNE 8TH"/>
      <sheetName val="JUNE 9TH"/>
      <sheetName val="JUNE 10TH"/>
      <sheetName val="JUNE 11TH"/>
      <sheetName val="JUNE12TH"/>
      <sheetName val="JUNE 13TH"/>
      <sheetName val="JUNE 15TH"/>
      <sheetName val="JUNE 16TH"/>
      <sheetName val="JUNE 17TH"/>
      <sheetName val="JUNE 18TH"/>
      <sheetName val="JUNE 19TH"/>
      <sheetName val="JUNE 20TH"/>
      <sheetName val="JUNE 22ST"/>
      <sheetName val="JUNE 23RD"/>
      <sheetName val="JUNE 24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J3">
            <v>56</v>
          </cell>
          <cell r="K3">
            <v>3</v>
          </cell>
        </row>
        <row r="4">
          <cell r="J4">
            <v>1748</v>
          </cell>
          <cell r="K4">
            <v>10</v>
          </cell>
        </row>
        <row r="5">
          <cell r="J5">
            <v>0</v>
          </cell>
          <cell r="K5">
            <v>0</v>
          </cell>
        </row>
        <row r="6">
          <cell r="J6">
            <v>432</v>
          </cell>
          <cell r="K6">
            <v>5</v>
          </cell>
        </row>
        <row r="7">
          <cell r="J7">
            <v>287</v>
          </cell>
          <cell r="K7">
            <v>0</v>
          </cell>
        </row>
        <row r="8">
          <cell r="J8">
            <v>43</v>
          </cell>
          <cell r="K8">
            <v>3</v>
          </cell>
        </row>
        <row r="9">
          <cell r="J9">
            <v>300</v>
          </cell>
          <cell r="K9">
            <v>0</v>
          </cell>
        </row>
        <row r="10">
          <cell r="J10">
            <v>562</v>
          </cell>
          <cell r="K10">
            <v>0</v>
          </cell>
        </row>
        <row r="11">
          <cell r="J11">
            <v>8</v>
          </cell>
          <cell r="K11">
            <v>1</v>
          </cell>
        </row>
        <row r="12">
          <cell r="J12">
            <v>632</v>
          </cell>
          <cell r="K12">
            <v>0</v>
          </cell>
        </row>
        <row r="13">
          <cell r="J13">
            <v>2</v>
          </cell>
          <cell r="K13">
            <v>8</v>
          </cell>
        </row>
        <row r="14">
          <cell r="J14">
            <v>0</v>
          </cell>
          <cell r="K14">
            <v>0</v>
          </cell>
        </row>
        <row r="15">
          <cell r="J15">
            <v>225</v>
          </cell>
          <cell r="K15">
            <v>0</v>
          </cell>
        </row>
        <row r="16">
          <cell r="J16">
            <v>1109</v>
          </cell>
          <cell r="K16">
            <v>2</v>
          </cell>
        </row>
        <row r="17">
          <cell r="J17">
            <v>611</v>
          </cell>
          <cell r="K17">
            <v>0</v>
          </cell>
        </row>
        <row r="18">
          <cell r="J18">
            <v>89</v>
          </cell>
          <cell r="K18">
            <v>24</v>
          </cell>
        </row>
        <row r="19">
          <cell r="J19">
            <v>269</v>
          </cell>
          <cell r="K19">
            <v>3</v>
          </cell>
        </row>
        <row r="20">
          <cell r="J20">
            <v>814</v>
          </cell>
          <cell r="K20">
            <v>1</v>
          </cell>
        </row>
        <row r="21">
          <cell r="J21">
            <v>1608</v>
          </cell>
          <cell r="K21">
            <v>4</v>
          </cell>
        </row>
        <row r="22">
          <cell r="J22">
            <v>278</v>
          </cell>
          <cell r="K22">
            <v>5</v>
          </cell>
        </row>
        <row r="23">
          <cell r="J23">
            <v>315</v>
          </cell>
          <cell r="K23">
            <v>7</v>
          </cell>
        </row>
        <row r="24">
          <cell r="J24">
            <v>0</v>
          </cell>
          <cell r="K24">
            <v>23</v>
          </cell>
        </row>
        <row r="25">
          <cell r="J25">
            <v>0</v>
          </cell>
          <cell r="K25">
            <v>3</v>
          </cell>
        </row>
        <row r="26">
          <cell r="J26">
            <v>9838</v>
          </cell>
          <cell r="K26">
            <v>4</v>
          </cell>
        </row>
        <row r="27">
          <cell r="J27">
            <v>1367</v>
          </cell>
          <cell r="K27">
            <v>0</v>
          </cell>
        </row>
        <row r="28">
          <cell r="J28">
            <v>0</v>
          </cell>
          <cell r="K28">
            <v>3</v>
          </cell>
        </row>
        <row r="29">
          <cell r="J29">
            <v>310</v>
          </cell>
          <cell r="K29">
            <v>12</v>
          </cell>
        </row>
        <row r="30">
          <cell r="J30">
            <v>235</v>
          </cell>
          <cell r="K30">
            <v>3</v>
          </cell>
        </row>
        <row r="31">
          <cell r="J31">
            <v>0</v>
          </cell>
          <cell r="K31">
            <v>0</v>
          </cell>
        </row>
        <row r="32">
          <cell r="J32">
            <v>68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2299</v>
          </cell>
          <cell r="K34">
            <v>4</v>
          </cell>
        </row>
        <row r="35">
          <cell r="J35">
            <v>0</v>
          </cell>
          <cell r="K35">
            <v>1</v>
          </cell>
        </row>
        <row r="36">
          <cell r="J36">
            <v>484</v>
          </cell>
          <cell r="K36">
            <v>5</v>
          </cell>
        </row>
        <row r="37">
          <cell r="J37">
            <v>491</v>
          </cell>
          <cell r="K37">
            <v>0</v>
          </cell>
        </row>
        <row r="38">
          <cell r="J38">
            <v>427</v>
          </cell>
          <cell r="K38">
            <v>2</v>
          </cell>
        </row>
        <row r="39">
          <cell r="J39">
            <v>0</v>
          </cell>
          <cell r="K39">
            <v>0</v>
          </cell>
        </row>
        <row r="40">
          <cell r="J40">
            <v>1</v>
          </cell>
          <cell r="K40">
            <v>3</v>
          </cell>
        </row>
        <row r="41">
          <cell r="J41">
            <v>0</v>
          </cell>
          <cell r="K41">
            <v>2</v>
          </cell>
        </row>
        <row r="42">
          <cell r="J42">
            <v>0</v>
          </cell>
          <cell r="K42">
            <v>3</v>
          </cell>
        </row>
        <row r="43">
          <cell r="J43">
            <v>170</v>
          </cell>
          <cell r="K43">
            <v>0</v>
          </cell>
        </row>
      </sheetData>
      <sheetData sheetId="1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163-6C21-4C55-86D5-F01114A2335F}">
  <dimension ref="A1:K43"/>
  <sheetViews>
    <sheetView tabSelected="1" workbookViewId="0">
      <selection activeCell="A5" sqref="A5"/>
    </sheetView>
  </sheetViews>
  <sheetFormatPr defaultRowHeight="14.5" x14ac:dyDescent="0.35"/>
  <cols>
    <col min="1" max="1" width="9.81640625" bestFit="1" customWidth="1"/>
    <col min="2" max="2" width="61.453125" customWidth="1"/>
  </cols>
  <sheetData>
    <row r="1" spans="1:11" x14ac:dyDescent="0.35">
      <c r="A1" s="1" t="s">
        <v>0</v>
      </c>
      <c r="B1" s="1" t="s">
        <v>1</v>
      </c>
      <c r="C1" s="1"/>
      <c r="D1" s="72" t="s">
        <v>2</v>
      </c>
      <c r="E1" s="73"/>
      <c r="F1" s="75" t="s">
        <v>3</v>
      </c>
      <c r="G1" s="76"/>
      <c r="H1" s="77" t="s">
        <v>4</v>
      </c>
      <c r="I1" s="77"/>
      <c r="J1" s="78" t="s">
        <v>5</v>
      </c>
      <c r="K1" s="78"/>
    </row>
    <row r="2" spans="1:11" x14ac:dyDescent="0.35">
      <c r="A2" s="4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5" t="s">
        <v>9</v>
      </c>
      <c r="G2" s="5" t="s">
        <v>10</v>
      </c>
      <c r="H2" s="2" t="s">
        <v>9</v>
      </c>
      <c r="I2" s="2" t="s">
        <v>10</v>
      </c>
      <c r="J2" s="3" t="s">
        <v>9</v>
      </c>
      <c r="K2" s="3" t="s">
        <v>10</v>
      </c>
    </row>
    <row r="3" spans="1:11" x14ac:dyDescent="0.35">
      <c r="A3" s="83">
        <v>100044281</v>
      </c>
      <c r="B3" s="6" t="s">
        <v>11</v>
      </c>
      <c r="C3" s="7">
        <v>12</v>
      </c>
      <c r="D3" s="8">
        <f>'[1]JUNE 23RD'!J3</f>
        <v>56</v>
      </c>
      <c r="E3" s="8">
        <f>'[1]JUNE 23RD'!K3</f>
        <v>3</v>
      </c>
      <c r="F3" s="9">
        <v>100</v>
      </c>
      <c r="G3" s="9"/>
      <c r="H3" s="10">
        <v>50</v>
      </c>
      <c r="I3" s="10"/>
      <c r="J3" s="8">
        <f>D3+F3-H3</f>
        <v>106</v>
      </c>
      <c r="K3" s="8">
        <f>E3+G3-I3</f>
        <v>3</v>
      </c>
    </row>
    <row r="4" spans="1:11" x14ac:dyDescent="0.35">
      <c r="A4" s="83">
        <v>100045401</v>
      </c>
      <c r="B4" s="6" t="s">
        <v>12</v>
      </c>
      <c r="C4" s="7">
        <v>12</v>
      </c>
      <c r="D4" s="8">
        <f>'[1]JUNE 23RD'!J4</f>
        <v>1748</v>
      </c>
      <c r="E4" s="8">
        <f>'[1]JUNE 23RD'!K4</f>
        <v>10</v>
      </c>
      <c r="F4" s="9"/>
      <c r="G4" s="9"/>
      <c r="H4" s="10">
        <v>2</v>
      </c>
      <c r="I4" s="10"/>
      <c r="J4" s="8">
        <f t="shared" ref="J4:K43" si="0">D4+F4-H4</f>
        <v>1746</v>
      </c>
      <c r="K4" s="8">
        <f t="shared" si="0"/>
        <v>10</v>
      </c>
    </row>
    <row r="5" spans="1:11" x14ac:dyDescent="0.35">
      <c r="A5" s="83">
        <v>7354581</v>
      </c>
      <c r="B5" s="6" t="s">
        <v>13</v>
      </c>
      <c r="C5" s="7">
        <v>6</v>
      </c>
      <c r="D5" s="8">
        <f>'[1]JUNE 23RD'!J5</f>
        <v>0</v>
      </c>
      <c r="E5" s="8">
        <f>'[1]JUNE 23RD'!K5</f>
        <v>0</v>
      </c>
      <c r="F5" s="9"/>
      <c r="G5" s="9"/>
      <c r="H5" s="10"/>
      <c r="I5" s="10"/>
      <c r="J5" s="8">
        <f t="shared" si="0"/>
        <v>0</v>
      </c>
      <c r="K5" s="8">
        <f t="shared" si="0"/>
        <v>0</v>
      </c>
    </row>
    <row r="6" spans="1:11" x14ac:dyDescent="0.35">
      <c r="A6" s="83">
        <v>10004536</v>
      </c>
      <c r="B6" s="6" t="s">
        <v>14</v>
      </c>
      <c r="C6" s="7">
        <v>12</v>
      </c>
      <c r="D6" s="8">
        <f>'[1]JUNE 23RD'!J6</f>
        <v>432</v>
      </c>
      <c r="E6" s="8">
        <f>'[1]JUNE 23RD'!K6</f>
        <v>5</v>
      </c>
      <c r="F6" s="9"/>
      <c r="G6" s="9"/>
      <c r="H6" s="10"/>
      <c r="I6" s="10"/>
      <c r="J6" s="8">
        <f t="shared" si="0"/>
        <v>432</v>
      </c>
      <c r="K6" s="8">
        <f t="shared" si="0"/>
        <v>5</v>
      </c>
    </row>
    <row r="7" spans="1:11" x14ac:dyDescent="0.35">
      <c r="A7" s="83">
        <v>7808101</v>
      </c>
      <c r="B7" s="6" t="s">
        <v>15</v>
      </c>
      <c r="C7" s="7">
        <v>6</v>
      </c>
      <c r="D7" s="8">
        <f>'[1]JUNE 23RD'!J7</f>
        <v>287</v>
      </c>
      <c r="E7" s="8">
        <f>'[1]JUNE 23RD'!K7</f>
        <v>0</v>
      </c>
      <c r="F7" s="9"/>
      <c r="G7" s="9"/>
      <c r="H7" s="10"/>
      <c r="I7" s="10"/>
      <c r="J7" s="8">
        <f t="shared" si="0"/>
        <v>287</v>
      </c>
      <c r="K7" s="8">
        <f t="shared" si="0"/>
        <v>0</v>
      </c>
    </row>
    <row r="8" spans="1:11" x14ac:dyDescent="0.35">
      <c r="A8" s="83">
        <v>7444731</v>
      </c>
      <c r="B8" s="6" t="s">
        <v>16</v>
      </c>
      <c r="C8" s="7">
        <v>6</v>
      </c>
      <c r="D8" s="8">
        <f>'[1]JUNE 23RD'!J8</f>
        <v>43</v>
      </c>
      <c r="E8" s="8">
        <f>'[1]JUNE 23RD'!K8</f>
        <v>3</v>
      </c>
      <c r="F8" s="9">
        <v>30</v>
      </c>
      <c r="G8" s="9"/>
      <c r="H8" s="10">
        <v>1</v>
      </c>
      <c r="I8" s="10"/>
      <c r="J8" s="8">
        <f t="shared" si="0"/>
        <v>72</v>
      </c>
      <c r="K8" s="8">
        <f t="shared" si="0"/>
        <v>3</v>
      </c>
    </row>
    <row r="9" spans="1:11" x14ac:dyDescent="0.35">
      <c r="A9" s="83">
        <v>7569151</v>
      </c>
      <c r="B9" s="11" t="s">
        <v>17</v>
      </c>
      <c r="C9" s="7">
        <v>6</v>
      </c>
      <c r="D9" s="8">
        <f>'[1]JUNE 23RD'!J9</f>
        <v>300</v>
      </c>
      <c r="E9" s="8">
        <f>'[1]JUNE 23RD'!K9</f>
        <v>0</v>
      </c>
      <c r="F9" s="9"/>
      <c r="G9" s="9"/>
      <c r="H9" s="10">
        <v>22</v>
      </c>
      <c r="I9" s="10"/>
      <c r="J9" s="8">
        <f t="shared" si="0"/>
        <v>278</v>
      </c>
      <c r="K9" s="8">
        <f t="shared" si="0"/>
        <v>0</v>
      </c>
    </row>
    <row r="10" spans="1:11" x14ac:dyDescent="0.35">
      <c r="A10" s="83">
        <v>7661031</v>
      </c>
      <c r="B10" s="6" t="s">
        <v>18</v>
      </c>
      <c r="C10" s="7">
        <v>6</v>
      </c>
      <c r="D10" s="8">
        <f>'[1]JUNE 23RD'!J10</f>
        <v>562</v>
      </c>
      <c r="E10" s="8">
        <f>'[1]JUNE 23RD'!K10</f>
        <v>0</v>
      </c>
      <c r="F10" s="9"/>
      <c r="G10" s="9"/>
      <c r="H10" s="10"/>
      <c r="I10" s="10"/>
      <c r="J10" s="8">
        <f t="shared" si="0"/>
        <v>562</v>
      </c>
      <c r="K10" s="8">
        <f t="shared" si="0"/>
        <v>0</v>
      </c>
    </row>
    <row r="11" spans="1:11" x14ac:dyDescent="0.35">
      <c r="A11" s="83">
        <v>7833471</v>
      </c>
      <c r="B11" s="6" t="s">
        <v>19</v>
      </c>
      <c r="C11" s="7">
        <v>6</v>
      </c>
      <c r="D11" s="8">
        <f>'[1]JUNE 23RD'!J11</f>
        <v>8</v>
      </c>
      <c r="E11" s="8">
        <f>'[1]JUNE 23RD'!K11</f>
        <v>1</v>
      </c>
      <c r="F11" s="9"/>
      <c r="G11" s="9"/>
      <c r="H11" s="10">
        <v>1</v>
      </c>
      <c r="I11" s="10"/>
      <c r="J11" s="8">
        <f t="shared" si="0"/>
        <v>7</v>
      </c>
      <c r="K11" s="8">
        <f t="shared" si="0"/>
        <v>1</v>
      </c>
    </row>
    <row r="12" spans="1:11" x14ac:dyDescent="0.35">
      <c r="A12" s="83">
        <v>10003849</v>
      </c>
      <c r="B12" s="7" t="s">
        <v>20</v>
      </c>
      <c r="C12" s="7">
        <v>6</v>
      </c>
      <c r="D12" s="8">
        <f>'[1]JUNE 23RD'!J12</f>
        <v>632</v>
      </c>
      <c r="E12" s="8">
        <f>'[1]JUNE 23RD'!K12</f>
        <v>0</v>
      </c>
      <c r="F12" s="9"/>
      <c r="G12" s="9"/>
      <c r="H12" s="10"/>
      <c r="I12" s="10"/>
      <c r="J12" s="8">
        <f t="shared" si="0"/>
        <v>632</v>
      </c>
      <c r="K12" s="8">
        <f t="shared" si="0"/>
        <v>0</v>
      </c>
    </row>
    <row r="13" spans="1:11" x14ac:dyDescent="0.35">
      <c r="A13" s="83">
        <v>765139</v>
      </c>
      <c r="B13" s="6" t="s">
        <v>21</v>
      </c>
      <c r="C13" s="7">
        <v>12</v>
      </c>
      <c r="D13" s="8">
        <f>'[1]JUNE 23RD'!J13</f>
        <v>2</v>
      </c>
      <c r="E13" s="8">
        <f>'[1]JUNE 23RD'!K13</f>
        <v>8</v>
      </c>
      <c r="F13" s="9"/>
      <c r="G13" s="9"/>
      <c r="H13" s="10"/>
      <c r="I13" s="10"/>
      <c r="J13" s="8">
        <f t="shared" si="0"/>
        <v>2</v>
      </c>
      <c r="K13" s="8">
        <f t="shared" si="0"/>
        <v>8</v>
      </c>
    </row>
    <row r="14" spans="1:11" x14ac:dyDescent="0.35">
      <c r="A14" s="83">
        <v>646731</v>
      </c>
      <c r="B14" s="6" t="s">
        <v>22</v>
      </c>
      <c r="C14" s="7">
        <v>24</v>
      </c>
      <c r="D14" s="8">
        <f>'[1]JUNE 23RD'!J14</f>
        <v>0</v>
      </c>
      <c r="E14" s="8">
        <f>'[1]JUNE 23RD'!K14</f>
        <v>0</v>
      </c>
      <c r="F14" s="9"/>
      <c r="G14" s="9"/>
      <c r="H14" s="10"/>
      <c r="I14" s="10"/>
      <c r="J14" s="8">
        <f t="shared" si="0"/>
        <v>0</v>
      </c>
      <c r="K14" s="8">
        <f t="shared" si="0"/>
        <v>0</v>
      </c>
    </row>
    <row r="15" spans="1:11" x14ac:dyDescent="0.35">
      <c r="A15" s="83">
        <v>774224</v>
      </c>
      <c r="B15" s="6" t="s">
        <v>23</v>
      </c>
      <c r="C15" s="7">
        <v>12</v>
      </c>
      <c r="D15" s="8">
        <f>'[1]JUNE 23RD'!J15</f>
        <v>225</v>
      </c>
      <c r="E15" s="8">
        <f>'[1]JUNE 23RD'!K15</f>
        <v>0</v>
      </c>
      <c r="F15" s="9">
        <v>50</v>
      </c>
      <c r="G15" s="9"/>
      <c r="H15" s="10">
        <v>1</v>
      </c>
      <c r="I15" s="10"/>
      <c r="J15" s="8">
        <f t="shared" si="0"/>
        <v>274</v>
      </c>
      <c r="K15" s="8">
        <f t="shared" si="0"/>
        <v>0</v>
      </c>
    </row>
    <row r="16" spans="1:11" x14ac:dyDescent="0.35">
      <c r="A16" s="83">
        <v>746799</v>
      </c>
      <c r="B16" s="6" t="s">
        <v>24</v>
      </c>
      <c r="C16" s="7">
        <v>6</v>
      </c>
      <c r="D16" s="8">
        <f>'[1]JUNE 23RD'!J16</f>
        <v>1109</v>
      </c>
      <c r="E16" s="8">
        <f>'[1]JUNE 23RD'!K16</f>
        <v>2</v>
      </c>
      <c r="F16" s="9"/>
      <c r="G16" s="9"/>
      <c r="H16" s="10"/>
      <c r="I16" s="10"/>
      <c r="J16" s="8">
        <f t="shared" si="0"/>
        <v>1109</v>
      </c>
      <c r="K16" s="8">
        <f t="shared" si="0"/>
        <v>2</v>
      </c>
    </row>
    <row r="17" spans="1:11" x14ac:dyDescent="0.35">
      <c r="A17" s="83">
        <v>777982</v>
      </c>
      <c r="B17" s="6" t="s">
        <v>25</v>
      </c>
      <c r="C17" s="7">
        <v>12</v>
      </c>
      <c r="D17" s="8">
        <f>'[1]JUNE 23RD'!J17</f>
        <v>611</v>
      </c>
      <c r="E17" s="8">
        <f>'[1]JUNE 23RD'!K17</f>
        <v>0</v>
      </c>
      <c r="F17" s="9"/>
      <c r="G17" s="9"/>
      <c r="H17" s="10">
        <v>10</v>
      </c>
      <c r="I17" s="10">
        <v>5</v>
      </c>
      <c r="J17" s="8">
        <v>600</v>
      </c>
      <c r="K17" s="8">
        <v>7</v>
      </c>
    </row>
    <row r="18" spans="1:11" x14ac:dyDescent="0.35">
      <c r="A18" s="83">
        <v>751894</v>
      </c>
      <c r="B18" s="6" t="s">
        <v>26</v>
      </c>
      <c r="C18" s="7">
        <v>48</v>
      </c>
      <c r="D18" s="8">
        <f>'[1]JUNE 23RD'!J18</f>
        <v>89</v>
      </c>
      <c r="E18" s="8">
        <f>'[1]JUNE 23RD'!K18</f>
        <v>24</v>
      </c>
      <c r="F18" s="9"/>
      <c r="G18" s="9"/>
      <c r="H18" s="10"/>
      <c r="I18" s="10"/>
      <c r="J18" s="8">
        <f t="shared" si="0"/>
        <v>89</v>
      </c>
      <c r="K18" s="8">
        <f t="shared" si="0"/>
        <v>24</v>
      </c>
    </row>
    <row r="19" spans="1:11" x14ac:dyDescent="0.35">
      <c r="A19" s="83">
        <v>773013</v>
      </c>
      <c r="B19" s="6" t="s">
        <v>27</v>
      </c>
      <c r="C19" s="7">
        <v>6</v>
      </c>
      <c r="D19" s="8">
        <f>'[1]JUNE 23RD'!J19</f>
        <v>269</v>
      </c>
      <c r="E19" s="8">
        <f>'[1]JUNE 23RD'!K19</f>
        <v>3</v>
      </c>
      <c r="F19" s="9"/>
      <c r="G19" s="9"/>
      <c r="H19" s="10"/>
      <c r="I19" s="10"/>
      <c r="J19" s="8">
        <f t="shared" si="0"/>
        <v>269</v>
      </c>
      <c r="K19" s="8">
        <f t="shared" si="0"/>
        <v>3</v>
      </c>
    </row>
    <row r="20" spans="1:11" x14ac:dyDescent="0.35">
      <c r="A20" s="83">
        <v>775836</v>
      </c>
      <c r="B20" s="6" t="s">
        <v>28</v>
      </c>
      <c r="C20" s="7">
        <v>3</v>
      </c>
      <c r="D20" s="8">
        <f>'[1]JUNE 23RD'!J20</f>
        <v>814</v>
      </c>
      <c r="E20" s="8">
        <f>'[1]JUNE 23RD'!K20</f>
        <v>1</v>
      </c>
      <c r="F20" s="9"/>
      <c r="G20" s="9"/>
      <c r="H20" s="10"/>
      <c r="I20" s="10"/>
      <c r="J20" s="8">
        <f t="shared" si="0"/>
        <v>814</v>
      </c>
      <c r="K20" s="8">
        <f t="shared" si="0"/>
        <v>1</v>
      </c>
    </row>
    <row r="21" spans="1:11" x14ac:dyDescent="0.35">
      <c r="A21" s="83">
        <v>733837</v>
      </c>
      <c r="B21" s="6" t="s">
        <v>29</v>
      </c>
      <c r="C21" s="7">
        <v>6</v>
      </c>
      <c r="D21" s="8">
        <f>'[1]JUNE 23RD'!J21</f>
        <v>1608</v>
      </c>
      <c r="E21" s="8">
        <f>'[1]JUNE 23RD'!K21</f>
        <v>4</v>
      </c>
      <c r="F21" s="9"/>
      <c r="G21" s="9"/>
      <c r="H21" s="10">
        <v>6</v>
      </c>
      <c r="I21" s="10"/>
      <c r="J21" s="8">
        <f t="shared" si="0"/>
        <v>1602</v>
      </c>
      <c r="K21" s="8">
        <f t="shared" si="0"/>
        <v>4</v>
      </c>
    </row>
    <row r="22" spans="1:11" x14ac:dyDescent="0.35">
      <c r="A22" s="83">
        <v>754238</v>
      </c>
      <c r="B22" s="6" t="s">
        <v>30</v>
      </c>
      <c r="C22" s="7">
        <v>6</v>
      </c>
      <c r="D22" s="8">
        <f>'[1]JUNE 23RD'!J22</f>
        <v>278</v>
      </c>
      <c r="E22" s="8">
        <f>'[1]JUNE 23RD'!K22</f>
        <v>5</v>
      </c>
      <c r="F22" s="9"/>
      <c r="G22" s="9"/>
      <c r="H22" s="10"/>
      <c r="I22" s="10"/>
      <c r="J22" s="8">
        <f t="shared" si="0"/>
        <v>278</v>
      </c>
      <c r="K22" s="8">
        <f t="shared" si="0"/>
        <v>5</v>
      </c>
    </row>
    <row r="23" spans="1:11" x14ac:dyDescent="0.35">
      <c r="A23" s="83">
        <v>777806</v>
      </c>
      <c r="B23" s="6" t="s">
        <v>31</v>
      </c>
      <c r="C23" s="7">
        <v>12</v>
      </c>
      <c r="D23" s="8">
        <f>'[1]JUNE 23RD'!J23</f>
        <v>315</v>
      </c>
      <c r="E23" s="8">
        <f>'[1]JUNE 23RD'!K23</f>
        <v>7</v>
      </c>
      <c r="F23" s="9"/>
      <c r="G23" s="9"/>
      <c r="H23" s="10">
        <v>4</v>
      </c>
      <c r="I23" s="10"/>
      <c r="J23" s="8">
        <f t="shared" si="0"/>
        <v>311</v>
      </c>
      <c r="K23" s="8">
        <f t="shared" si="0"/>
        <v>7</v>
      </c>
    </row>
    <row r="24" spans="1:11" x14ac:dyDescent="0.35">
      <c r="A24" s="83">
        <v>751895</v>
      </c>
      <c r="B24" s="6" t="s">
        <v>32</v>
      </c>
      <c r="C24" s="7">
        <v>48</v>
      </c>
      <c r="D24" s="8">
        <f>'[1]JUNE 23RD'!J24</f>
        <v>0</v>
      </c>
      <c r="E24" s="8">
        <f>'[1]JUNE 23RD'!K24</f>
        <v>23</v>
      </c>
      <c r="F24" s="9"/>
      <c r="G24" s="9"/>
      <c r="H24" s="10"/>
      <c r="I24" s="10"/>
      <c r="J24" s="8">
        <f t="shared" si="0"/>
        <v>0</v>
      </c>
      <c r="K24" s="8">
        <f t="shared" si="0"/>
        <v>23</v>
      </c>
    </row>
    <row r="25" spans="1:11" x14ac:dyDescent="0.35">
      <c r="A25" s="83">
        <v>714276</v>
      </c>
      <c r="B25" s="6" t="s">
        <v>33</v>
      </c>
      <c r="C25" s="7">
        <v>12</v>
      </c>
      <c r="D25" s="8">
        <f>'[1]JUNE 23RD'!J25</f>
        <v>0</v>
      </c>
      <c r="E25" s="8">
        <f>'[1]JUNE 23RD'!K25</f>
        <v>3</v>
      </c>
      <c r="F25" s="9"/>
      <c r="G25" s="9"/>
      <c r="H25" s="10"/>
      <c r="I25" s="10"/>
      <c r="J25" s="8">
        <f t="shared" si="0"/>
        <v>0</v>
      </c>
      <c r="K25" s="8">
        <f t="shared" si="0"/>
        <v>3</v>
      </c>
    </row>
    <row r="26" spans="1:11" x14ac:dyDescent="0.35">
      <c r="A26" s="83">
        <v>758811</v>
      </c>
      <c r="B26" s="6" t="s">
        <v>34</v>
      </c>
      <c r="C26" s="7">
        <v>6</v>
      </c>
      <c r="D26" s="8">
        <f>'[1]JUNE 23RD'!J26</f>
        <v>9838</v>
      </c>
      <c r="E26" s="8">
        <f>'[1]JUNE 23RD'!K26</f>
        <v>4</v>
      </c>
      <c r="F26" s="9"/>
      <c r="G26" s="9"/>
      <c r="H26" s="10">
        <v>6</v>
      </c>
      <c r="I26" s="10"/>
      <c r="J26" s="8">
        <f t="shared" si="0"/>
        <v>9832</v>
      </c>
      <c r="K26" s="8">
        <f t="shared" si="0"/>
        <v>4</v>
      </c>
    </row>
    <row r="27" spans="1:11" x14ac:dyDescent="0.35">
      <c r="A27" s="83">
        <v>773401</v>
      </c>
      <c r="B27" s="6" t="s">
        <v>35</v>
      </c>
      <c r="C27" s="7">
        <v>6</v>
      </c>
      <c r="D27" s="8">
        <f>'[1]JUNE 23RD'!J27</f>
        <v>1367</v>
      </c>
      <c r="E27" s="8">
        <f>'[1]JUNE 23RD'!K27</f>
        <v>0</v>
      </c>
      <c r="F27" s="9"/>
      <c r="G27" s="9"/>
      <c r="H27" s="10"/>
      <c r="I27" s="10"/>
      <c r="J27" s="8">
        <f t="shared" si="0"/>
        <v>1367</v>
      </c>
      <c r="K27" s="8">
        <f t="shared" si="0"/>
        <v>0</v>
      </c>
    </row>
    <row r="28" spans="1:11" x14ac:dyDescent="0.35">
      <c r="A28" s="83">
        <v>773402</v>
      </c>
      <c r="B28" s="6" t="s">
        <v>36</v>
      </c>
      <c r="C28" s="7">
        <v>6</v>
      </c>
      <c r="D28" s="8">
        <f>'[1]JUNE 23RD'!J28</f>
        <v>0</v>
      </c>
      <c r="E28" s="8">
        <f>'[1]JUNE 23RD'!K28</f>
        <v>3</v>
      </c>
      <c r="F28" s="9"/>
      <c r="G28" s="9"/>
      <c r="H28" s="10"/>
      <c r="I28" s="10"/>
      <c r="J28" s="8">
        <f t="shared" si="0"/>
        <v>0</v>
      </c>
      <c r="K28" s="8">
        <f t="shared" si="0"/>
        <v>3</v>
      </c>
    </row>
    <row r="29" spans="1:11" x14ac:dyDescent="0.35">
      <c r="A29" s="83">
        <v>660242</v>
      </c>
      <c r="B29" s="6" t="s">
        <v>37</v>
      </c>
      <c r="C29" s="7">
        <v>48</v>
      </c>
      <c r="D29" s="8">
        <f>'[1]JUNE 23RD'!J29</f>
        <v>310</v>
      </c>
      <c r="E29" s="8">
        <f>'[1]JUNE 23RD'!K29</f>
        <v>12</v>
      </c>
      <c r="F29" s="9"/>
      <c r="G29" s="9"/>
      <c r="H29" s="10"/>
      <c r="I29" s="10"/>
      <c r="J29" s="8">
        <f t="shared" si="0"/>
        <v>310</v>
      </c>
      <c r="K29" s="8">
        <f t="shared" si="0"/>
        <v>12</v>
      </c>
    </row>
    <row r="30" spans="1:11" x14ac:dyDescent="0.35">
      <c r="A30" s="83">
        <v>780299</v>
      </c>
      <c r="B30" s="6" t="s">
        <v>38</v>
      </c>
      <c r="C30" s="7">
        <v>6</v>
      </c>
      <c r="D30" s="8">
        <f>'[1]JUNE 23RD'!J30</f>
        <v>235</v>
      </c>
      <c r="E30" s="8">
        <f>'[1]JUNE 23RD'!K30</f>
        <v>3</v>
      </c>
      <c r="F30" s="9"/>
      <c r="G30" s="9"/>
      <c r="H30" s="10">
        <v>1</v>
      </c>
      <c r="I30" s="10"/>
      <c r="J30" s="8">
        <f t="shared" si="0"/>
        <v>234</v>
      </c>
      <c r="K30" s="8">
        <f t="shared" si="0"/>
        <v>3</v>
      </c>
    </row>
    <row r="31" spans="1:11" x14ac:dyDescent="0.35">
      <c r="A31" s="83">
        <v>708388</v>
      </c>
      <c r="B31" s="6" t="s">
        <v>39</v>
      </c>
      <c r="C31" s="7">
        <v>12</v>
      </c>
      <c r="D31" s="8">
        <f>'[1]JUNE 23RD'!J31</f>
        <v>0</v>
      </c>
      <c r="E31" s="8">
        <f>'[1]JUNE 23RD'!K31</f>
        <v>0</v>
      </c>
      <c r="F31" s="9"/>
      <c r="G31" s="9"/>
      <c r="H31" s="10"/>
      <c r="I31" s="10"/>
      <c r="J31" s="8">
        <f t="shared" si="0"/>
        <v>0</v>
      </c>
      <c r="K31" s="8">
        <f t="shared" si="0"/>
        <v>0</v>
      </c>
    </row>
    <row r="32" spans="1:11" x14ac:dyDescent="0.35">
      <c r="A32" s="83">
        <v>701308</v>
      </c>
      <c r="B32" s="6" t="s">
        <v>40</v>
      </c>
      <c r="C32" s="7">
        <v>6</v>
      </c>
      <c r="D32" s="8">
        <f>'[1]JUNE 23RD'!J32</f>
        <v>68</v>
      </c>
      <c r="E32" s="8">
        <f>'[1]JUNE 23RD'!K32</f>
        <v>0</v>
      </c>
      <c r="F32" s="9"/>
      <c r="G32" s="9"/>
      <c r="H32" s="10"/>
      <c r="I32" s="12"/>
      <c r="J32" s="8">
        <f t="shared" si="0"/>
        <v>68</v>
      </c>
      <c r="K32" s="8">
        <f t="shared" si="0"/>
        <v>0</v>
      </c>
    </row>
    <row r="33" spans="1:11" x14ac:dyDescent="0.35">
      <c r="A33" s="83">
        <v>712907</v>
      </c>
      <c r="B33" s="6" t="s">
        <v>41</v>
      </c>
      <c r="C33" s="7">
        <v>6</v>
      </c>
      <c r="D33" s="8">
        <f>'[1]JUNE 23RD'!J33</f>
        <v>0</v>
      </c>
      <c r="E33" s="8">
        <f>'[1]JUNE 23RD'!K33</f>
        <v>0</v>
      </c>
      <c r="F33" s="9"/>
      <c r="G33" s="9"/>
      <c r="H33" s="10"/>
      <c r="I33" s="10"/>
      <c r="J33" s="8">
        <f t="shared" si="0"/>
        <v>0</v>
      </c>
      <c r="K33" s="8">
        <f t="shared" si="0"/>
        <v>0</v>
      </c>
    </row>
    <row r="34" spans="1:11" x14ac:dyDescent="0.35">
      <c r="A34" s="11">
        <v>10005148</v>
      </c>
      <c r="B34" s="13" t="s">
        <v>42</v>
      </c>
      <c r="C34" s="7">
        <v>6</v>
      </c>
      <c r="D34" s="8">
        <f>'[1]JUNE 23RD'!J34</f>
        <v>2299</v>
      </c>
      <c r="E34" s="8">
        <f>'[1]JUNE 23RD'!K34</f>
        <v>4</v>
      </c>
      <c r="F34" s="9"/>
      <c r="G34" s="9"/>
      <c r="H34" s="10"/>
      <c r="I34" s="10">
        <v>8</v>
      </c>
      <c r="J34" s="8">
        <v>2298</v>
      </c>
      <c r="K34" s="8">
        <v>2</v>
      </c>
    </row>
    <row r="35" spans="1:11" x14ac:dyDescent="0.35">
      <c r="A35" s="11">
        <v>10005479</v>
      </c>
      <c r="B35" s="7" t="s">
        <v>43</v>
      </c>
      <c r="C35" s="7">
        <v>6</v>
      </c>
      <c r="D35" s="8">
        <f>'[1]JUNE 23RD'!J35</f>
        <v>0</v>
      </c>
      <c r="E35" s="8">
        <f>'[1]JUNE 23RD'!K35</f>
        <v>1</v>
      </c>
      <c r="F35" s="9">
        <v>1976</v>
      </c>
      <c r="G35" s="9"/>
      <c r="H35" s="10">
        <v>204</v>
      </c>
      <c r="I35" s="10"/>
      <c r="J35" s="8">
        <f t="shared" si="0"/>
        <v>1772</v>
      </c>
      <c r="K35" s="8">
        <f t="shared" si="0"/>
        <v>1</v>
      </c>
    </row>
    <row r="36" spans="1:11" x14ac:dyDescent="0.35">
      <c r="A36" s="11">
        <v>10005480</v>
      </c>
      <c r="B36" s="7" t="s">
        <v>44</v>
      </c>
      <c r="C36" s="7">
        <v>6</v>
      </c>
      <c r="D36" s="8">
        <f>'[1]JUNE 23RD'!J36</f>
        <v>484</v>
      </c>
      <c r="E36" s="8">
        <f>'[1]JUNE 23RD'!K36</f>
        <v>5</v>
      </c>
      <c r="F36" s="9"/>
      <c r="G36" s="9"/>
      <c r="H36" s="10">
        <v>3</v>
      </c>
      <c r="I36" s="10"/>
      <c r="J36" s="8">
        <f t="shared" si="0"/>
        <v>481</v>
      </c>
      <c r="K36" s="8">
        <f t="shared" si="0"/>
        <v>5</v>
      </c>
    </row>
    <row r="37" spans="1:11" x14ac:dyDescent="0.35">
      <c r="A37" s="84">
        <v>10005482</v>
      </c>
      <c r="B37" s="14" t="s">
        <v>45</v>
      </c>
      <c r="C37" s="14">
        <v>6</v>
      </c>
      <c r="D37" s="8">
        <f>'[1]JUNE 23RD'!J37</f>
        <v>491</v>
      </c>
      <c r="E37" s="8">
        <f>'[1]JUNE 23RD'!K37</f>
        <v>0</v>
      </c>
      <c r="F37" s="9"/>
      <c r="G37" s="9"/>
      <c r="H37" s="10"/>
      <c r="I37" s="10"/>
      <c r="J37" s="8">
        <f t="shared" si="0"/>
        <v>491</v>
      </c>
      <c r="K37" s="8">
        <f t="shared" si="0"/>
        <v>0</v>
      </c>
    </row>
    <row r="38" spans="1:11" x14ac:dyDescent="0.35">
      <c r="A38" s="84">
        <v>10005540</v>
      </c>
      <c r="B38" s="14" t="s">
        <v>46</v>
      </c>
      <c r="C38" s="14">
        <v>4</v>
      </c>
      <c r="D38" s="8">
        <f>'[1]JUNE 23RD'!J38</f>
        <v>427</v>
      </c>
      <c r="E38" s="8">
        <f>'[1]JUNE 23RD'!K38</f>
        <v>2</v>
      </c>
      <c r="F38" s="9"/>
      <c r="G38" s="9"/>
      <c r="H38" s="10"/>
      <c r="I38" s="10"/>
      <c r="J38" s="8">
        <f t="shared" si="0"/>
        <v>427</v>
      </c>
      <c r="K38" s="8">
        <f t="shared" si="0"/>
        <v>2</v>
      </c>
    </row>
    <row r="39" spans="1:11" x14ac:dyDescent="0.35">
      <c r="A39" s="84">
        <v>10005572</v>
      </c>
      <c r="B39" s="14" t="s">
        <v>47</v>
      </c>
      <c r="C39" s="14">
        <v>12</v>
      </c>
      <c r="D39" s="8">
        <f>'[1]JUNE 23RD'!J39</f>
        <v>0</v>
      </c>
      <c r="E39" s="8">
        <f>'[1]JUNE 23RD'!K39</f>
        <v>0</v>
      </c>
      <c r="F39" s="9"/>
      <c r="G39" s="9"/>
      <c r="H39" s="10"/>
      <c r="I39" s="10"/>
      <c r="J39" s="8">
        <f t="shared" si="0"/>
        <v>0</v>
      </c>
      <c r="K39" s="8">
        <f t="shared" si="0"/>
        <v>0</v>
      </c>
    </row>
    <row r="40" spans="1:11" ht="16" x14ac:dyDescent="0.4">
      <c r="A40" s="84">
        <v>10003925</v>
      </c>
      <c r="B40" s="15" t="s">
        <v>48</v>
      </c>
      <c r="C40" s="14">
        <v>12</v>
      </c>
      <c r="D40" s="8">
        <f>'[1]JUNE 23RD'!J40</f>
        <v>1</v>
      </c>
      <c r="E40" s="8">
        <f>'[1]JUNE 23RD'!K40</f>
        <v>3</v>
      </c>
      <c r="F40" s="9"/>
      <c r="G40" s="9"/>
      <c r="H40" s="10"/>
      <c r="I40" s="10"/>
      <c r="J40" s="8">
        <f t="shared" si="0"/>
        <v>1</v>
      </c>
      <c r="K40" s="8">
        <f t="shared" si="0"/>
        <v>3</v>
      </c>
    </row>
    <row r="41" spans="1:11" x14ac:dyDescent="0.35">
      <c r="A41" s="84">
        <v>10005678</v>
      </c>
      <c r="B41" s="14" t="s">
        <v>49</v>
      </c>
      <c r="C41" s="14">
        <v>6</v>
      </c>
      <c r="D41" s="8">
        <f>'[1]JUNE 23RD'!J41</f>
        <v>0</v>
      </c>
      <c r="E41" s="8">
        <f>'[1]JUNE 23RD'!K41</f>
        <v>2</v>
      </c>
      <c r="F41" s="9"/>
      <c r="G41" s="9"/>
      <c r="H41" s="10"/>
      <c r="I41" s="10"/>
      <c r="J41" s="8">
        <f t="shared" si="0"/>
        <v>0</v>
      </c>
      <c r="K41" s="8">
        <f t="shared" si="0"/>
        <v>2</v>
      </c>
    </row>
    <row r="42" spans="1:11" x14ac:dyDescent="0.35">
      <c r="A42" s="84">
        <v>10003971</v>
      </c>
      <c r="B42" s="14" t="s">
        <v>50</v>
      </c>
      <c r="C42" s="14"/>
      <c r="D42" s="8">
        <f>'[1]JUNE 23RD'!J42</f>
        <v>0</v>
      </c>
      <c r="E42" s="8">
        <f>'[1]JUNE 23RD'!K42</f>
        <v>3</v>
      </c>
      <c r="F42" s="9"/>
      <c r="G42" s="9"/>
      <c r="H42" s="10"/>
      <c r="I42" s="10"/>
      <c r="J42" s="8">
        <f t="shared" si="0"/>
        <v>0</v>
      </c>
      <c r="K42" s="8">
        <f t="shared" si="0"/>
        <v>3</v>
      </c>
    </row>
    <row r="43" spans="1:11" x14ac:dyDescent="0.35">
      <c r="A43" s="16"/>
      <c r="B43" s="7" t="s">
        <v>51</v>
      </c>
      <c r="C43" s="7">
        <v>3</v>
      </c>
      <c r="D43" s="8">
        <f>'[1]JUNE 23RD'!J43</f>
        <v>170</v>
      </c>
      <c r="E43" s="8">
        <f>'[1]JUNE 23RD'!K43</f>
        <v>0</v>
      </c>
      <c r="F43" s="9"/>
      <c r="G43" s="17"/>
      <c r="H43" s="10">
        <v>12</v>
      </c>
      <c r="I43" s="18"/>
      <c r="J43" s="8">
        <f t="shared" si="0"/>
        <v>158</v>
      </c>
      <c r="K43" s="8">
        <f t="shared" si="0"/>
        <v>0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6D8-D4CD-4E21-9260-CEF5CB5C1FC4}">
  <dimension ref="C1:M113"/>
  <sheetViews>
    <sheetView workbookViewId="0">
      <selection activeCell="C3" sqref="C3"/>
    </sheetView>
  </sheetViews>
  <sheetFormatPr defaultRowHeight="14.5" x14ac:dyDescent="0.35"/>
  <cols>
    <col min="3" max="3" width="44.08984375" customWidth="1"/>
    <col min="6" max="7" width="14.90625" bestFit="1" customWidth="1"/>
  </cols>
  <sheetData>
    <row r="1" spans="3:13" x14ac:dyDescent="0.35">
      <c r="C1" s="19"/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20" t="s">
        <v>61</v>
      </c>
    </row>
    <row r="2" spans="3:13" x14ac:dyDescent="0.35">
      <c r="C2" s="21" t="s">
        <v>73</v>
      </c>
      <c r="D2" s="21" t="s">
        <v>62</v>
      </c>
      <c r="E2" s="21" t="s">
        <v>62</v>
      </c>
      <c r="F2" s="21" t="s">
        <v>62</v>
      </c>
      <c r="G2" s="21" t="s">
        <v>62</v>
      </c>
      <c r="H2" s="21" t="s">
        <v>62</v>
      </c>
      <c r="I2" s="21" t="s">
        <v>62</v>
      </c>
      <c r="J2" s="21" t="s">
        <v>62</v>
      </c>
      <c r="K2" s="21" t="s">
        <v>62</v>
      </c>
      <c r="L2" s="21" t="s">
        <v>62</v>
      </c>
      <c r="M2" s="22" t="s">
        <v>62</v>
      </c>
    </row>
    <row r="3" spans="3:13" x14ac:dyDescent="0.35">
      <c r="C3" s="19" t="s">
        <v>34</v>
      </c>
      <c r="D3">
        <v>356.16666666666669</v>
      </c>
      <c r="E3">
        <v>0</v>
      </c>
      <c r="F3">
        <v>0</v>
      </c>
      <c r="G3">
        <v>9831.6666666666661</v>
      </c>
      <c r="H3">
        <v>0.33333333333333331</v>
      </c>
      <c r="I3">
        <v>0</v>
      </c>
      <c r="J3">
        <v>3.5</v>
      </c>
      <c r="K3">
        <v>210.66666666666666</v>
      </c>
      <c r="L3">
        <v>55</v>
      </c>
      <c r="M3" s="23">
        <v>10457.333333333334</v>
      </c>
    </row>
    <row r="4" spans="3:13" x14ac:dyDescent="0.35">
      <c r="C4" s="19" t="s">
        <v>12</v>
      </c>
      <c r="D4">
        <v>519.91666666666663</v>
      </c>
      <c r="E4">
        <v>5173.416666666667</v>
      </c>
      <c r="F4">
        <v>0</v>
      </c>
      <c r="G4">
        <v>1736.3333333333333</v>
      </c>
      <c r="H4">
        <v>0</v>
      </c>
      <c r="I4">
        <v>0</v>
      </c>
      <c r="J4">
        <v>3.8333333333333335</v>
      </c>
      <c r="K4">
        <v>888</v>
      </c>
      <c r="L4">
        <v>321.91666666666669</v>
      </c>
      <c r="M4" s="23">
        <v>8643.4166666666661</v>
      </c>
    </row>
    <row r="5" spans="3:13" x14ac:dyDescent="0.35">
      <c r="C5" s="19" t="s">
        <v>23</v>
      </c>
      <c r="D5">
        <v>61.416666666666664</v>
      </c>
      <c r="E5">
        <v>6769.5</v>
      </c>
      <c r="F5">
        <v>0</v>
      </c>
      <c r="G5">
        <v>274.66666666666669</v>
      </c>
      <c r="H5">
        <v>0.91666666666666663</v>
      </c>
      <c r="I5">
        <v>0</v>
      </c>
      <c r="J5">
        <v>7</v>
      </c>
      <c r="K5">
        <v>372.41666666666669</v>
      </c>
      <c r="L5">
        <v>120.75</v>
      </c>
      <c r="M5" s="23">
        <v>7606.666666666667</v>
      </c>
    </row>
    <row r="6" spans="3:13" x14ac:dyDescent="0.35">
      <c r="C6" s="19" t="s">
        <v>63</v>
      </c>
      <c r="D6">
        <v>109</v>
      </c>
      <c r="E6">
        <v>3863.1666666666665</v>
      </c>
      <c r="F6">
        <v>1</v>
      </c>
      <c r="G6">
        <v>1753.3333333333333</v>
      </c>
      <c r="H6">
        <v>0</v>
      </c>
      <c r="I6">
        <v>0</v>
      </c>
      <c r="J6">
        <v>21.333333333333332</v>
      </c>
      <c r="K6">
        <v>284</v>
      </c>
      <c r="L6">
        <v>36</v>
      </c>
      <c r="M6" s="23">
        <v>6067.833333333333</v>
      </c>
    </row>
    <row r="7" spans="3:13" x14ac:dyDescent="0.35">
      <c r="C7" s="19" t="s">
        <v>11</v>
      </c>
      <c r="D7">
        <v>41.916666666666664</v>
      </c>
      <c r="E7">
        <v>5280</v>
      </c>
      <c r="F7">
        <v>0</v>
      </c>
      <c r="G7">
        <v>33.5</v>
      </c>
      <c r="H7">
        <v>0</v>
      </c>
      <c r="I7">
        <v>0</v>
      </c>
      <c r="J7">
        <v>6.5</v>
      </c>
      <c r="K7">
        <v>394.08333333333331</v>
      </c>
      <c r="L7">
        <v>220</v>
      </c>
      <c r="M7" s="23">
        <v>5976</v>
      </c>
    </row>
    <row r="8" spans="3:13" x14ac:dyDescent="0.35">
      <c r="C8" s="19" t="s">
        <v>31</v>
      </c>
      <c r="D8">
        <v>247.75</v>
      </c>
      <c r="E8">
        <v>4251</v>
      </c>
      <c r="F8">
        <v>0</v>
      </c>
      <c r="G8">
        <v>289.5</v>
      </c>
      <c r="H8">
        <v>0</v>
      </c>
      <c r="I8">
        <v>0</v>
      </c>
      <c r="J8">
        <v>2.4166666666666665</v>
      </c>
      <c r="K8">
        <v>257.83333333333331</v>
      </c>
      <c r="L8">
        <v>49.416666666666664</v>
      </c>
      <c r="M8" s="23">
        <v>5097.916666666667</v>
      </c>
    </row>
    <row r="9" spans="3:13" x14ac:dyDescent="0.35">
      <c r="C9" s="19" t="s">
        <v>64</v>
      </c>
      <c r="D9">
        <v>172</v>
      </c>
      <c r="E9">
        <v>0</v>
      </c>
      <c r="F9">
        <v>0</v>
      </c>
      <c r="G9">
        <v>2300.1666666666665</v>
      </c>
      <c r="H9">
        <v>0</v>
      </c>
      <c r="I9">
        <v>0</v>
      </c>
      <c r="J9">
        <v>8.1666666666666661</v>
      </c>
      <c r="K9">
        <v>273</v>
      </c>
      <c r="L9">
        <v>9</v>
      </c>
      <c r="M9" s="23">
        <v>2762.3333333333335</v>
      </c>
    </row>
    <row r="10" spans="3:13" x14ac:dyDescent="0.35">
      <c r="C10" s="19" t="s">
        <v>65</v>
      </c>
      <c r="D10">
        <v>50.5</v>
      </c>
      <c r="E10">
        <v>1520</v>
      </c>
      <c r="F10">
        <v>11</v>
      </c>
      <c r="G10">
        <v>433.16666666666669</v>
      </c>
      <c r="H10">
        <v>2.5</v>
      </c>
      <c r="I10">
        <v>0</v>
      </c>
      <c r="J10">
        <v>27.333333333333332</v>
      </c>
      <c r="K10">
        <v>45.5</v>
      </c>
      <c r="L10">
        <v>38.166666666666664</v>
      </c>
      <c r="M10" s="23">
        <v>2128.1666666666665</v>
      </c>
    </row>
    <row r="11" spans="3:13" x14ac:dyDescent="0.35">
      <c r="C11" s="19" t="s">
        <v>25</v>
      </c>
      <c r="D11">
        <v>118.33333333333333</v>
      </c>
      <c r="E11">
        <v>539.25</v>
      </c>
      <c r="F11">
        <v>3</v>
      </c>
      <c r="G11">
        <v>596.75</v>
      </c>
      <c r="H11">
        <v>3</v>
      </c>
      <c r="I11">
        <v>0</v>
      </c>
      <c r="J11">
        <v>5</v>
      </c>
      <c r="K11">
        <v>430.33333333333331</v>
      </c>
      <c r="L11">
        <v>143.16666666666666</v>
      </c>
      <c r="M11" s="23">
        <v>1838.8333333333333</v>
      </c>
    </row>
    <row r="12" spans="3:13" x14ac:dyDescent="0.35">
      <c r="C12" s="19" t="s">
        <v>66</v>
      </c>
      <c r="D12">
        <v>0</v>
      </c>
      <c r="E12">
        <v>1560</v>
      </c>
      <c r="F12">
        <v>0</v>
      </c>
      <c r="G12">
        <v>151</v>
      </c>
      <c r="H12">
        <v>0</v>
      </c>
      <c r="I12">
        <v>0</v>
      </c>
      <c r="J12">
        <v>14</v>
      </c>
      <c r="K12">
        <v>0</v>
      </c>
      <c r="L12">
        <v>0</v>
      </c>
      <c r="M12" s="23">
        <v>1725</v>
      </c>
    </row>
    <row r="13" spans="3:13" x14ac:dyDescent="0.35">
      <c r="C13" s="19" t="s">
        <v>29</v>
      </c>
      <c r="D13">
        <v>16.5</v>
      </c>
      <c r="E13">
        <v>0</v>
      </c>
      <c r="F13">
        <v>1</v>
      </c>
      <c r="G13">
        <v>1599.1666666666667</v>
      </c>
      <c r="H13">
        <v>0</v>
      </c>
      <c r="I13">
        <v>0</v>
      </c>
      <c r="J13">
        <v>7.333333333333333</v>
      </c>
      <c r="K13">
        <v>34.5</v>
      </c>
      <c r="L13">
        <v>52.333333333333336</v>
      </c>
      <c r="M13" s="23">
        <v>1710.8333333333333</v>
      </c>
    </row>
    <row r="14" spans="3:13" x14ac:dyDescent="0.35">
      <c r="C14" s="19" t="s">
        <v>35</v>
      </c>
      <c r="D14">
        <v>64.833333333333329</v>
      </c>
      <c r="E14">
        <v>0</v>
      </c>
      <c r="F14">
        <v>1.1666666666666667</v>
      </c>
      <c r="G14">
        <v>1367.3333333333333</v>
      </c>
      <c r="H14">
        <v>0</v>
      </c>
      <c r="I14">
        <v>0</v>
      </c>
      <c r="J14">
        <v>2</v>
      </c>
      <c r="K14">
        <v>74.5</v>
      </c>
      <c r="L14">
        <v>38</v>
      </c>
      <c r="M14" s="23">
        <v>1547.8333333333333</v>
      </c>
    </row>
    <row r="15" spans="3:13" x14ac:dyDescent="0.35">
      <c r="C15" s="19" t="s">
        <v>24</v>
      </c>
      <c r="D15">
        <v>203.66666666666666</v>
      </c>
      <c r="E15">
        <v>0</v>
      </c>
      <c r="F15">
        <v>0.5</v>
      </c>
      <c r="G15">
        <v>1109.5</v>
      </c>
      <c r="H15">
        <v>4.333333333333333</v>
      </c>
      <c r="I15">
        <v>0</v>
      </c>
      <c r="J15">
        <v>5.5</v>
      </c>
      <c r="K15">
        <v>33</v>
      </c>
      <c r="L15">
        <v>41.666666666666664</v>
      </c>
      <c r="M15" s="23">
        <v>1398.1666666666667</v>
      </c>
    </row>
    <row r="16" spans="3:13" x14ac:dyDescent="0.35">
      <c r="C16" s="19" t="s">
        <v>28</v>
      </c>
      <c r="D16">
        <v>94.333333333333329</v>
      </c>
      <c r="E16">
        <v>0</v>
      </c>
      <c r="F16">
        <v>0</v>
      </c>
      <c r="G16">
        <v>814.33333333333337</v>
      </c>
      <c r="H16">
        <v>1.6666666666666667</v>
      </c>
      <c r="I16">
        <v>0</v>
      </c>
      <c r="J16">
        <v>21.333333333333332</v>
      </c>
      <c r="K16">
        <v>61</v>
      </c>
      <c r="L16">
        <v>21</v>
      </c>
      <c r="M16" s="23">
        <v>1013.6666666666666</v>
      </c>
    </row>
    <row r="17" spans="3:13" x14ac:dyDescent="0.35">
      <c r="C17" s="19" t="s">
        <v>67</v>
      </c>
      <c r="D17">
        <v>99</v>
      </c>
      <c r="E17">
        <v>0</v>
      </c>
      <c r="F17">
        <v>0</v>
      </c>
      <c r="G17">
        <v>632</v>
      </c>
      <c r="H17">
        <v>0</v>
      </c>
      <c r="I17">
        <v>0</v>
      </c>
      <c r="J17">
        <v>4.5</v>
      </c>
      <c r="K17">
        <v>178</v>
      </c>
      <c r="L17">
        <v>47</v>
      </c>
      <c r="M17" s="23">
        <v>960.5</v>
      </c>
    </row>
    <row r="18" spans="3:13" x14ac:dyDescent="0.35">
      <c r="C18" s="19" t="s">
        <v>15</v>
      </c>
      <c r="D18">
        <v>36</v>
      </c>
      <c r="E18">
        <v>549.66666666666663</v>
      </c>
      <c r="F18">
        <v>0</v>
      </c>
      <c r="G18">
        <v>285.16666666666669</v>
      </c>
      <c r="H18">
        <v>0</v>
      </c>
      <c r="I18">
        <v>0</v>
      </c>
      <c r="J18">
        <v>4.666666666666667</v>
      </c>
      <c r="K18">
        <v>21</v>
      </c>
      <c r="L18">
        <v>33</v>
      </c>
      <c r="M18" s="23">
        <v>929.5</v>
      </c>
    </row>
    <row r="19" spans="3:13" x14ac:dyDescent="0.35">
      <c r="C19" s="19" t="s">
        <v>18</v>
      </c>
      <c r="D19">
        <v>83.833333333333329</v>
      </c>
      <c r="E19">
        <v>0</v>
      </c>
      <c r="F19">
        <v>0</v>
      </c>
      <c r="G19">
        <v>554.16666666666663</v>
      </c>
      <c r="H19">
        <v>0</v>
      </c>
      <c r="I19">
        <v>0</v>
      </c>
      <c r="J19">
        <v>4.333333333333333</v>
      </c>
      <c r="K19">
        <v>99.833333333333329</v>
      </c>
      <c r="L19">
        <v>49</v>
      </c>
      <c r="M19" s="23">
        <v>791.16666666666663</v>
      </c>
    </row>
    <row r="20" spans="3:13" x14ac:dyDescent="0.35">
      <c r="C20" s="19" t="s">
        <v>68</v>
      </c>
      <c r="D20">
        <v>42</v>
      </c>
      <c r="E20">
        <v>0</v>
      </c>
      <c r="F20">
        <v>1</v>
      </c>
      <c r="G20">
        <v>481.5</v>
      </c>
      <c r="H20">
        <v>0</v>
      </c>
      <c r="I20">
        <v>0</v>
      </c>
      <c r="J20">
        <v>5.5</v>
      </c>
      <c r="K20">
        <v>72</v>
      </c>
      <c r="L20">
        <v>40</v>
      </c>
      <c r="M20" s="23">
        <v>642</v>
      </c>
    </row>
    <row r="21" spans="3:13" x14ac:dyDescent="0.35">
      <c r="C21" s="19" t="s">
        <v>45</v>
      </c>
      <c r="D21">
        <v>57</v>
      </c>
      <c r="E21">
        <v>0</v>
      </c>
      <c r="F21">
        <v>1</v>
      </c>
      <c r="G21">
        <v>490.16666666666669</v>
      </c>
      <c r="H21">
        <v>0</v>
      </c>
      <c r="I21">
        <v>0</v>
      </c>
      <c r="J21">
        <v>7.833333333333333</v>
      </c>
      <c r="K21">
        <v>64</v>
      </c>
      <c r="L21">
        <v>11</v>
      </c>
      <c r="M21" s="23">
        <v>631</v>
      </c>
    </row>
    <row r="22" spans="3:13" x14ac:dyDescent="0.35">
      <c r="C22" s="19" t="s">
        <v>16</v>
      </c>
      <c r="D22">
        <v>30.5</v>
      </c>
      <c r="E22">
        <v>424.66666666666669</v>
      </c>
      <c r="F22">
        <v>0</v>
      </c>
      <c r="G22">
        <v>70.833333333333329</v>
      </c>
      <c r="H22">
        <v>0</v>
      </c>
      <c r="I22">
        <v>0</v>
      </c>
      <c r="J22">
        <v>6.166666666666667</v>
      </c>
      <c r="K22">
        <v>63</v>
      </c>
      <c r="L22">
        <v>23</v>
      </c>
      <c r="M22" s="23">
        <v>618.16666666666663</v>
      </c>
    </row>
    <row r="23" spans="3:13" x14ac:dyDescent="0.35">
      <c r="C23" s="19" t="s">
        <v>14</v>
      </c>
      <c r="D23">
        <v>40</v>
      </c>
      <c r="E23">
        <v>0</v>
      </c>
      <c r="F23">
        <v>0</v>
      </c>
      <c r="G23">
        <v>431.75</v>
      </c>
      <c r="H23">
        <v>0</v>
      </c>
      <c r="I23">
        <v>0</v>
      </c>
      <c r="J23">
        <v>4.5</v>
      </c>
      <c r="K23">
        <v>57</v>
      </c>
      <c r="L23">
        <v>6.5</v>
      </c>
      <c r="M23" s="23">
        <v>539.75</v>
      </c>
    </row>
    <row r="24" spans="3:13" x14ac:dyDescent="0.35">
      <c r="C24" s="19" t="s">
        <v>69</v>
      </c>
      <c r="D24">
        <v>4</v>
      </c>
      <c r="E24">
        <v>0</v>
      </c>
      <c r="F24">
        <v>0</v>
      </c>
      <c r="G24">
        <v>423.5</v>
      </c>
      <c r="H24">
        <v>0</v>
      </c>
      <c r="I24">
        <v>0</v>
      </c>
      <c r="J24">
        <v>4</v>
      </c>
      <c r="K24">
        <v>20</v>
      </c>
      <c r="L24">
        <v>10</v>
      </c>
      <c r="M24" s="23">
        <v>461.5</v>
      </c>
    </row>
    <row r="25" spans="3:13" x14ac:dyDescent="0.35">
      <c r="C25" s="19" t="s">
        <v>37</v>
      </c>
      <c r="D25">
        <v>17.979166666666668</v>
      </c>
      <c r="E25">
        <v>0</v>
      </c>
      <c r="F25">
        <v>0</v>
      </c>
      <c r="G25">
        <v>310.29166666666669</v>
      </c>
      <c r="H25">
        <v>0</v>
      </c>
      <c r="I25">
        <v>0</v>
      </c>
      <c r="J25">
        <v>0</v>
      </c>
      <c r="K25">
        <v>98</v>
      </c>
      <c r="L25">
        <v>17</v>
      </c>
      <c r="M25" s="23">
        <v>443.27083333333331</v>
      </c>
    </row>
    <row r="26" spans="3:13" x14ac:dyDescent="0.35">
      <c r="C26" s="19" t="s">
        <v>27</v>
      </c>
      <c r="D26">
        <v>30.5</v>
      </c>
      <c r="E26">
        <v>0</v>
      </c>
      <c r="F26">
        <v>0.83333333333333337</v>
      </c>
      <c r="G26">
        <v>267.5</v>
      </c>
      <c r="H26">
        <v>1.6666666666666667</v>
      </c>
      <c r="I26">
        <v>0.33333333333333331</v>
      </c>
      <c r="J26">
        <v>7.166666666666667</v>
      </c>
      <c r="K26">
        <v>28</v>
      </c>
      <c r="L26">
        <v>18.5</v>
      </c>
      <c r="M26" s="23">
        <v>354.5</v>
      </c>
    </row>
    <row r="27" spans="3:13" x14ac:dyDescent="0.35">
      <c r="C27" s="19" t="s">
        <v>30</v>
      </c>
      <c r="D27">
        <v>20.666666666666668</v>
      </c>
      <c r="E27">
        <v>0</v>
      </c>
      <c r="F27">
        <v>0</v>
      </c>
      <c r="G27">
        <v>279.83333333333331</v>
      </c>
      <c r="H27">
        <v>1</v>
      </c>
      <c r="I27">
        <v>0</v>
      </c>
      <c r="J27">
        <v>5</v>
      </c>
      <c r="K27">
        <v>13</v>
      </c>
      <c r="L27">
        <v>17</v>
      </c>
      <c r="M27" s="23">
        <v>336.5</v>
      </c>
    </row>
    <row r="28" spans="3:13" x14ac:dyDescent="0.35">
      <c r="C28" s="19" t="s">
        <v>38</v>
      </c>
      <c r="D28">
        <v>21.5</v>
      </c>
      <c r="E28">
        <v>0</v>
      </c>
      <c r="F28">
        <v>0</v>
      </c>
      <c r="G28">
        <v>235.16666666666666</v>
      </c>
      <c r="H28">
        <v>0.83333333333333337</v>
      </c>
      <c r="I28">
        <v>0</v>
      </c>
      <c r="J28">
        <v>5</v>
      </c>
      <c r="K28">
        <v>23</v>
      </c>
      <c r="L28">
        <v>20</v>
      </c>
      <c r="M28" s="23">
        <v>305.5</v>
      </c>
    </row>
    <row r="29" spans="3:13" x14ac:dyDescent="0.35">
      <c r="C29" s="19" t="s">
        <v>40</v>
      </c>
      <c r="D29">
        <v>40.5</v>
      </c>
      <c r="E29">
        <v>149</v>
      </c>
      <c r="F29">
        <v>0</v>
      </c>
      <c r="G29">
        <v>68</v>
      </c>
      <c r="H29">
        <v>0</v>
      </c>
      <c r="I29">
        <v>0</v>
      </c>
      <c r="J29">
        <v>6</v>
      </c>
      <c r="K29">
        <v>13.666666666666666</v>
      </c>
      <c r="L29">
        <v>0</v>
      </c>
      <c r="M29" s="23">
        <v>277.16666666666669</v>
      </c>
    </row>
    <row r="30" spans="3:13" x14ac:dyDescent="0.35">
      <c r="C30" s="19" t="s">
        <v>26</v>
      </c>
      <c r="D30">
        <v>61.083333333333336</v>
      </c>
      <c r="E30">
        <v>0</v>
      </c>
      <c r="F30">
        <v>0</v>
      </c>
      <c r="G30">
        <v>88.5</v>
      </c>
      <c r="H30">
        <v>0</v>
      </c>
      <c r="I30">
        <v>0</v>
      </c>
      <c r="K30">
        <v>68</v>
      </c>
      <c r="L30">
        <v>8.5</v>
      </c>
      <c r="M30" s="23">
        <v>226.08333333333334</v>
      </c>
    </row>
    <row r="31" spans="3:13" x14ac:dyDescent="0.35">
      <c r="C31" s="19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54</v>
      </c>
      <c r="K31">
        <v>0</v>
      </c>
      <c r="L31">
        <v>0</v>
      </c>
      <c r="M31" s="23">
        <v>54</v>
      </c>
    </row>
    <row r="32" spans="3:13" x14ac:dyDescent="0.35">
      <c r="C32" s="19" t="s">
        <v>19</v>
      </c>
      <c r="D32">
        <v>0.66666666666666663</v>
      </c>
      <c r="E32">
        <v>0</v>
      </c>
      <c r="F32">
        <v>4.666666666666667</v>
      </c>
      <c r="G32">
        <v>8</v>
      </c>
      <c r="H32">
        <v>0</v>
      </c>
      <c r="I32">
        <v>0</v>
      </c>
      <c r="J32">
        <v>7</v>
      </c>
      <c r="K32">
        <v>27.833333333333332</v>
      </c>
      <c r="L32">
        <v>1.5</v>
      </c>
      <c r="M32" s="23">
        <v>49.666666666666664</v>
      </c>
    </row>
    <row r="33" spans="3:13" x14ac:dyDescent="0.35">
      <c r="C33" s="19">
        <v>0</v>
      </c>
      <c r="I33">
        <v>0</v>
      </c>
      <c r="J33">
        <v>44.166666666666664</v>
      </c>
      <c r="M33" s="23">
        <v>44.166666666666664</v>
      </c>
    </row>
    <row r="34" spans="3:13" x14ac:dyDescent="0.35">
      <c r="C34" s="19" t="s">
        <v>70</v>
      </c>
      <c r="D34">
        <v>11</v>
      </c>
      <c r="E34">
        <v>0</v>
      </c>
      <c r="F34">
        <v>0</v>
      </c>
      <c r="G34">
        <v>0.5</v>
      </c>
      <c r="H34">
        <v>0</v>
      </c>
      <c r="I34">
        <v>0</v>
      </c>
      <c r="J34">
        <v>6.583333333333333</v>
      </c>
      <c r="K34">
        <v>17</v>
      </c>
      <c r="L34">
        <v>8</v>
      </c>
      <c r="M34" s="23">
        <v>43.083333333333336</v>
      </c>
    </row>
    <row r="35" spans="3:13" x14ac:dyDescent="0.35">
      <c r="C35" s="19">
        <v>0</v>
      </c>
      <c r="I35">
        <v>0</v>
      </c>
      <c r="J35">
        <v>42</v>
      </c>
      <c r="M35" s="23">
        <v>42</v>
      </c>
    </row>
    <row r="36" spans="3:13" x14ac:dyDescent="0.35">
      <c r="C36" s="19">
        <v>0</v>
      </c>
      <c r="I36">
        <v>0</v>
      </c>
      <c r="J36">
        <v>39.833333333333336</v>
      </c>
      <c r="M36" s="23">
        <v>39.833333333333336</v>
      </c>
    </row>
    <row r="37" spans="3:13" x14ac:dyDescent="0.35">
      <c r="C37" s="19" t="s">
        <v>21</v>
      </c>
      <c r="D37">
        <v>11.583333333333334</v>
      </c>
      <c r="E37">
        <v>9.75</v>
      </c>
      <c r="F37">
        <v>1</v>
      </c>
      <c r="G37">
        <v>0.5</v>
      </c>
      <c r="H37">
        <v>0</v>
      </c>
      <c r="I37">
        <v>0</v>
      </c>
      <c r="J37">
        <v>5.916666666666667</v>
      </c>
      <c r="K37">
        <v>1.0833333333333333</v>
      </c>
      <c r="L37">
        <v>5</v>
      </c>
      <c r="M37" s="23">
        <v>34.833333333333336</v>
      </c>
    </row>
    <row r="38" spans="3:13" x14ac:dyDescent="0.35">
      <c r="C38" s="19">
        <v>0</v>
      </c>
      <c r="D38">
        <v>0</v>
      </c>
      <c r="F38">
        <v>0</v>
      </c>
      <c r="G38">
        <v>32</v>
      </c>
      <c r="H38">
        <v>0</v>
      </c>
      <c r="I38">
        <v>0</v>
      </c>
      <c r="J38">
        <v>1.8333333333333333</v>
      </c>
      <c r="K38">
        <v>0</v>
      </c>
      <c r="L38">
        <v>0</v>
      </c>
      <c r="M38" s="23">
        <v>33.833333333333336</v>
      </c>
    </row>
    <row r="39" spans="3:13" x14ac:dyDescent="0.35">
      <c r="C39" s="19">
        <v>0</v>
      </c>
      <c r="D39">
        <v>0</v>
      </c>
      <c r="F39">
        <v>0</v>
      </c>
      <c r="G39">
        <v>31</v>
      </c>
      <c r="H39">
        <v>0</v>
      </c>
      <c r="I39">
        <v>0</v>
      </c>
      <c r="J39">
        <v>2.1666666666666665</v>
      </c>
      <c r="K39">
        <v>0</v>
      </c>
      <c r="L39">
        <v>0</v>
      </c>
      <c r="M39" s="23">
        <v>33.166666666666664</v>
      </c>
    </row>
    <row r="40" spans="3:13" x14ac:dyDescent="0.35">
      <c r="C40" s="19">
        <v>0</v>
      </c>
      <c r="D40">
        <v>0</v>
      </c>
      <c r="F40">
        <v>0</v>
      </c>
      <c r="G40">
        <v>30</v>
      </c>
      <c r="H40">
        <v>0</v>
      </c>
      <c r="I40">
        <v>0</v>
      </c>
      <c r="J40">
        <v>2.1666666666666665</v>
      </c>
      <c r="K40">
        <v>0</v>
      </c>
      <c r="L40">
        <v>0</v>
      </c>
      <c r="M40" s="23">
        <v>32.166666666666664</v>
      </c>
    </row>
    <row r="41" spans="3:13" x14ac:dyDescent="0.35">
      <c r="C41" s="19">
        <v>0</v>
      </c>
      <c r="D41">
        <v>0</v>
      </c>
      <c r="F41">
        <v>0</v>
      </c>
      <c r="G41">
        <v>30</v>
      </c>
      <c r="H41">
        <v>0</v>
      </c>
      <c r="I41">
        <v>0</v>
      </c>
      <c r="J41">
        <v>2</v>
      </c>
      <c r="K41">
        <v>0</v>
      </c>
      <c r="L41">
        <v>0</v>
      </c>
      <c r="M41" s="23">
        <v>32</v>
      </c>
    </row>
    <row r="42" spans="3:13" x14ac:dyDescent="0.35">
      <c r="C42" s="19">
        <v>0</v>
      </c>
      <c r="D42">
        <v>0</v>
      </c>
      <c r="I42">
        <v>0</v>
      </c>
      <c r="J42">
        <v>31.833333333333332</v>
      </c>
      <c r="M42" s="23">
        <v>31.833333333333332</v>
      </c>
    </row>
    <row r="43" spans="3:13" x14ac:dyDescent="0.35">
      <c r="C43" s="19">
        <v>0</v>
      </c>
      <c r="D43">
        <v>0</v>
      </c>
      <c r="F43">
        <v>0</v>
      </c>
      <c r="G43">
        <v>30</v>
      </c>
      <c r="H43">
        <v>0</v>
      </c>
      <c r="I43">
        <v>0</v>
      </c>
      <c r="J43">
        <v>1.6666666666666667</v>
      </c>
      <c r="K43">
        <v>0</v>
      </c>
      <c r="L43">
        <v>0</v>
      </c>
      <c r="M43" s="23">
        <v>31.666666666666668</v>
      </c>
    </row>
    <row r="44" spans="3:13" x14ac:dyDescent="0.35">
      <c r="C44" s="19" t="s">
        <v>41</v>
      </c>
      <c r="D44">
        <v>0</v>
      </c>
      <c r="E44">
        <v>20</v>
      </c>
      <c r="F44">
        <v>0</v>
      </c>
      <c r="G44">
        <v>0</v>
      </c>
      <c r="H44">
        <v>0</v>
      </c>
      <c r="I44">
        <v>0</v>
      </c>
      <c r="K44">
        <v>10.833333333333334</v>
      </c>
      <c r="L44">
        <v>0</v>
      </c>
      <c r="M44" s="23">
        <v>30.833333333333332</v>
      </c>
    </row>
    <row r="45" spans="3:13" x14ac:dyDescent="0.35">
      <c r="C45" s="19">
        <v>0</v>
      </c>
      <c r="D45">
        <v>0</v>
      </c>
      <c r="F45">
        <v>0</v>
      </c>
      <c r="G45">
        <v>23</v>
      </c>
      <c r="H45">
        <v>0</v>
      </c>
      <c r="I45">
        <v>0</v>
      </c>
      <c r="J45">
        <v>2</v>
      </c>
      <c r="K45">
        <v>0</v>
      </c>
      <c r="L45">
        <v>0</v>
      </c>
      <c r="M45" s="23">
        <v>25</v>
      </c>
    </row>
    <row r="46" spans="3:13" x14ac:dyDescent="0.35">
      <c r="C46" s="19">
        <v>0</v>
      </c>
      <c r="D46">
        <v>0</v>
      </c>
      <c r="F46">
        <v>0</v>
      </c>
      <c r="G46">
        <v>23</v>
      </c>
      <c r="H46">
        <v>0</v>
      </c>
      <c r="I46">
        <v>0</v>
      </c>
      <c r="J46">
        <v>1.3333333333333333</v>
      </c>
      <c r="K46">
        <v>0</v>
      </c>
      <c r="L46">
        <v>0</v>
      </c>
      <c r="M46" s="23">
        <v>24.333333333333332</v>
      </c>
    </row>
    <row r="47" spans="3:13" x14ac:dyDescent="0.35">
      <c r="C47" s="19">
        <v>0</v>
      </c>
      <c r="D47">
        <v>0</v>
      </c>
      <c r="F47">
        <v>0</v>
      </c>
      <c r="G47">
        <v>21</v>
      </c>
      <c r="H47">
        <v>0</v>
      </c>
      <c r="I47">
        <v>0</v>
      </c>
      <c r="J47">
        <v>3.1666666666666665</v>
      </c>
      <c r="K47">
        <v>0</v>
      </c>
      <c r="L47">
        <v>0</v>
      </c>
      <c r="M47" s="23">
        <v>24.166666666666668</v>
      </c>
    </row>
    <row r="48" spans="3:13" x14ac:dyDescent="0.35">
      <c r="C48" s="19">
        <v>0</v>
      </c>
      <c r="D48">
        <v>0</v>
      </c>
      <c r="F48">
        <v>0</v>
      </c>
      <c r="G48">
        <v>20</v>
      </c>
      <c r="H48">
        <v>0</v>
      </c>
      <c r="I48">
        <v>0</v>
      </c>
      <c r="J48">
        <v>2</v>
      </c>
      <c r="K48">
        <v>0</v>
      </c>
      <c r="L48">
        <v>0</v>
      </c>
      <c r="M48" s="23">
        <v>22</v>
      </c>
    </row>
    <row r="49" spans="3:13" x14ac:dyDescent="0.35">
      <c r="C49" s="19">
        <v>0</v>
      </c>
      <c r="D49">
        <v>0</v>
      </c>
      <c r="F49">
        <v>0</v>
      </c>
      <c r="G49">
        <v>17</v>
      </c>
      <c r="H49">
        <v>0</v>
      </c>
      <c r="I49">
        <v>0</v>
      </c>
      <c r="J49">
        <v>1.1666666666666667</v>
      </c>
      <c r="K49">
        <v>0</v>
      </c>
      <c r="L49">
        <v>0</v>
      </c>
      <c r="M49" s="23">
        <v>18.166666666666668</v>
      </c>
    </row>
    <row r="50" spans="3:13" x14ac:dyDescent="0.35">
      <c r="C50" s="19">
        <v>0</v>
      </c>
      <c r="D50">
        <v>0</v>
      </c>
      <c r="F50">
        <v>0</v>
      </c>
      <c r="G50">
        <v>0</v>
      </c>
      <c r="H50">
        <v>0</v>
      </c>
      <c r="I50">
        <v>0</v>
      </c>
      <c r="J50">
        <v>18</v>
      </c>
      <c r="K50">
        <v>0</v>
      </c>
      <c r="L50">
        <v>0</v>
      </c>
      <c r="M50" s="23">
        <v>18</v>
      </c>
    </row>
    <row r="51" spans="3:13" x14ac:dyDescent="0.35">
      <c r="C51" s="19">
        <v>0</v>
      </c>
      <c r="D51">
        <v>0</v>
      </c>
      <c r="F51">
        <v>0</v>
      </c>
      <c r="G51">
        <v>0</v>
      </c>
      <c r="H51">
        <v>0</v>
      </c>
      <c r="I51">
        <v>0</v>
      </c>
      <c r="J51">
        <v>17</v>
      </c>
      <c r="K51">
        <v>0</v>
      </c>
      <c r="L51">
        <v>0</v>
      </c>
      <c r="M51" s="23">
        <v>17</v>
      </c>
    </row>
    <row r="52" spans="3:13" x14ac:dyDescent="0.35">
      <c r="C52" s="19">
        <v>0</v>
      </c>
      <c r="D52">
        <v>0</v>
      </c>
      <c r="F52">
        <v>0</v>
      </c>
      <c r="G52">
        <v>15</v>
      </c>
      <c r="H52">
        <v>0</v>
      </c>
      <c r="I52">
        <v>0</v>
      </c>
      <c r="J52">
        <v>1.8333333333333333</v>
      </c>
      <c r="K52">
        <v>0</v>
      </c>
      <c r="L52">
        <v>0</v>
      </c>
      <c r="M52" s="23">
        <v>16.833333333333332</v>
      </c>
    </row>
    <row r="53" spans="3:13" x14ac:dyDescent="0.35">
      <c r="C53" s="19">
        <v>0</v>
      </c>
      <c r="D53">
        <v>0</v>
      </c>
      <c r="F53">
        <v>0</v>
      </c>
      <c r="G53">
        <v>0</v>
      </c>
      <c r="H53">
        <v>0</v>
      </c>
      <c r="I53">
        <v>0</v>
      </c>
      <c r="J53">
        <v>16.5</v>
      </c>
      <c r="K53">
        <v>0</v>
      </c>
      <c r="L53">
        <v>0</v>
      </c>
      <c r="M53" s="23">
        <v>16.5</v>
      </c>
    </row>
    <row r="54" spans="3:13" x14ac:dyDescent="0.35">
      <c r="C54" s="19">
        <v>0</v>
      </c>
      <c r="D54">
        <v>0</v>
      </c>
      <c r="F54">
        <v>0</v>
      </c>
      <c r="G54">
        <v>0</v>
      </c>
      <c r="H54">
        <v>0</v>
      </c>
      <c r="I54">
        <v>0</v>
      </c>
      <c r="J54">
        <v>16.333333333333332</v>
      </c>
      <c r="K54">
        <v>0</v>
      </c>
      <c r="L54">
        <v>0</v>
      </c>
      <c r="M54" s="23">
        <v>16.333333333333332</v>
      </c>
    </row>
    <row r="55" spans="3:13" x14ac:dyDescent="0.35">
      <c r="C55" s="19">
        <v>0</v>
      </c>
      <c r="D55">
        <v>0</v>
      </c>
      <c r="F55">
        <v>0</v>
      </c>
      <c r="G55">
        <v>0</v>
      </c>
      <c r="H55">
        <v>0</v>
      </c>
      <c r="I55">
        <v>0</v>
      </c>
      <c r="J55">
        <v>15.666666666666666</v>
      </c>
      <c r="K55">
        <v>0</v>
      </c>
      <c r="L55">
        <v>0</v>
      </c>
      <c r="M55" s="23">
        <v>15.666666666666666</v>
      </c>
    </row>
    <row r="56" spans="3:13" x14ac:dyDescent="0.35">
      <c r="C56" s="19">
        <v>0</v>
      </c>
      <c r="D56">
        <v>0</v>
      </c>
      <c r="F56">
        <v>0</v>
      </c>
      <c r="G56">
        <v>0</v>
      </c>
      <c r="H56">
        <v>0</v>
      </c>
      <c r="I56">
        <v>0</v>
      </c>
      <c r="J56">
        <v>12</v>
      </c>
      <c r="K56">
        <v>0</v>
      </c>
      <c r="L56">
        <v>0</v>
      </c>
      <c r="M56" s="23">
        <v>12</v>
      </c>
    </row>
    <row r="57" spans="3:13" x14ac:dyDescent="0.35">
      <c r="C57" s="19">
        <v>0</v>
      </c>
      <c r="D57">
        <v>0</v>
      </c>
      <c r="E57">
        <v>0</v>
      </c>
      <c r="F57">
        <v>0</v>
      </c>
      <c r="G57">
        <v>11</v>
      </c>
      <c r="H57">
        <v>0</v>
      </c>
      <c r="I57">
        <v>0</v>
      </c>
      <c r="K57">
        <v>0</v>
      </c>
      <c r="L57">
        <v>0</v>
      </c>
      <c r="M57" s="23">
        <v>11</v>
      </c>
    </row>
    <row r="58" spans="3:13" x14ac:dyDescent="0.35">
      <c r="C58" s="19">
        <v>0</v>
      </c>
      <c r="D58">
        <v>0</v>
      </c>
      <c r="F58">
        <v>0</v>
      </c>
      <c r="G58">
        <v>8</v>
      </c>
      <c r="H58">
        <v>0</v>
      </c>
      <c r="I58">
        <v>0</v>
      </c>
      <c r="J58">
        <v>1.5</v>
      </c>
      <c r="K58">
        <v>0</v>
      </c>
      <c r="L58">
        <v>0</v>
      </c>
      <c r="M58" s="23">
        <v>9.5</v>
      </c>
    </row>
    <row r="59" spans="3:13" x14ac:dyDescent="0.35">
      <c r="C59" s="19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9</v>
      </c>
      <c r="K59">
        <v>0</v>
      </c>
      <c r="L59">
        <v>0</v>
      </c>
      <c r="M59" s="23">
        <v>9</v>
      </c>
    </row>
    <row r="60" spans="3:13" x14ac:dyDescent="0.35">
      <c r="C60" s="19">
        <v>0</v>
      </c>
      <c r="D60">
        <v>0</v>
      </c>
      <c r="F60">
        <v>0</v>
      </c>
      <c r="G60">
        <v>0</v>
      </c>
      <c r="H60">
        <v>0</v>
      </c>
      <c r="I60">
        <v>0</v>
      </c>
      <c r="J60">
        <v>8.5</v>
      </c>
      <c r="K60">
        <v>0</v>
      </c>
      <c r="L60">
        <v>0</v>
      </c>
      <c r="M60" s="23">
        <v>8.5</v>
      </c>
    </row>
    <row r="61" spans="3:13" x14ac:dyDescent="0.35">
      <c r="C61" s="19">
        <v>0</v>
      </c>
      <c r="D61">
        <v>0</v>
      </c>
      <c r="F61">
        <v>0</v>
      </c>
      <c r="G61">
        <v>6</v>
      </c>
      <c r="H61">
        <v>0</v>
      </c>
      <c r="I61">
        <v>0</v>
      </c>
      <c r="J61">
        <v>2</v>
      </c>
      <c r="K61">
        <v>0</v>
      </c>
      <c r="L61">
        <v>0</v>
      </c>
      <c r="M61" s="23">
        <v>8</v>
      </c>
    </row>
    <row r="62" spans="3:13" x14ac:dyDescent="0.35">
      <c r="C62" s="19">
        <v>0</v>
      </c>
      <c r="D62">
        <v>0</v>
      </c>
      <c r="E62">
        <v>0</v>
      </c>
      <c r="F62">
        <v>0</v>
      </c>
      <c r="G62">
        <v>7.666666666666667</v>
      </c>
      <c r="H62">
        <v>0</v>
      </c>
      <c r="I62">
        <v>0</v>
      </c>
      <c r="K62">
        <v>0</v>
      </c>
      <c r="L62">
        <v>0</v>
      </c>
      <c r="M62" s="23">
        <v>7.666666666666667</v>
      </c>
    </row>
    <row r="63" spans="3:13" x14ac:dyDescent="0.35">
      <c r="C63" s="19" t="s">
        <v>36</v>
      </c>
      <c r="D63">
        <v>0</v>
      </c>
      <c r="E63">
        <v>0</v>
      </c>
      <c r="F63">
        <v>0</v>
      </c>
      <c r="G63">
        <v>0.5</v>
      </c>
      <c r="H63">
        <v>0.66666666666666663</v>
      </c>
      <c r="I63">
        <v>0</v>
      </c>
      <c r="J63">
        <v>6.333333333333333</v>
      </c>
      <c r="K63">
        <v>0</v>
      </c>
      <c r="L63">
        <v>0</v>
      </c>
      <c r="M63" s="23">
        <v>7.5</v>
      </c>
    </row>
    <row r="64" spans="3:13" x14ac:dyDescent="0.35">
      <c r="C64" s="19" t="s">
        <v>71</v>
      </c>
      <c r="D64">
        <v>0</v>
      </c>
      <c r="E64">
        <v>0</v>
      </c>
      <c r="F64">
        <v>0</v>
      </c>
      <c r="G64">
        <v>0.5</v>
      </c>
      <c r="H64">
        <v>0</v>
      </c>
      <c r="I64">
        <v>0</v>
      </c>
      <c r="J64">
        <v>3.4166666666666665</v>
      </c>
      <c r="K64">
        <v>0</v>
      </c>
      <c r="L64">
        <v>3</v>
      </c>
      <c r="M64" s="23">
        <v>6.916666666666667</v>
      </c>
    </row>
    <row r="65" spans="3:13" x14ac:dyDescent="0.35">
      <c r="C65" s="19">
        <v>0</v>
      </c>
      <c r="D65">
        <v>0</v>
      </c>
      <c r="F65">
        <v>0</v>
      </c>
      <c r="G65">
        <v>0</v>
      </c>
      <c r="H65">
        <v>0</v>
      </c>
      <c r="I65">
        <v>0</v>
      </c>
      <c r="J65">
        <v>4.833333333333333</v>
      </c>
      <c r="K65">
        <v>0</v>
      </c>
      <c r="L65">
        <v>0</v>
      </c>
      <c r="M65" s="23">
        <v>4.833333333333333</v>
      </c>
    </row>
    <row r="66" spans="3:13" x14ac:dyDescent="0.35">
      <c r="C66" s="19">
        <v>0</v>
      </c>
      <c r="I66">
        <v>0</v>
      </c>
      <c r="J66">
        <v>4.666666666666667</v>
      </c>
      <c r="M66" s="23">
        <v>4.666666666666667</v>
      </c>
    </row>
    <row r="67" spans="3:13" x14ac:dyDescent="0.35">
      <c r="C67" s="19">
        <v>0</v>
      </c>
      <c r="D67">
        <v>0</v>
      </c>
      <c r="E67">
        <v>0</v>
      </c>
      <c r="F67">
        <v>0</v>
      </c>
      <c r="G67">
        <v>4.333333333333333</v>
      </c>
      <c r="H67">
        <v>0</v>
      </c>
      <c r="I67">
        <v>0</v>
      </c>
      <c r="K67">
        <v>0</v>
      </c>
      <c r="L67">
        <v>0</v>
      </c>
      <c r="M67" s="23">
        <v>4.333333333333333</v>
      </c>
    </row>
    <row r="68" spans="3:13" x14ac:dyDescent="0.35">
      <c r="C68" s="19">
        <v>0</v>
      </c>
      <c r="D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 s="23">
        <v>4</v>
      </c>
    </row>
    <row r="69" spans="3:13" x14ac:dyDescent="0.35">
      <c r="C69" s="19">
        <v>0</v>
      </c>
      <c r="D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 s="23">
        <v>4</v>
      </c>
    </row>
    <row r="70" spans="3:13" x14ac:dyDescent="0.35">
      <c r="C70" s="19">
        <v>0</v>
      </c>
      <c r="D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 s="23">
        <v>4</v>
      </c>
    </row>
    <row r="71" spans="3:13" x14ac:dyDescent="0.35">
      <c r="C71" s="19" t="s">
        <v>33</v>
      </c>
      <c r="D71">
        <v>0</v>
      </c>
      <c r="E71">
        <v>0</v>
      </c>
      <c r="F71">
        <v>0</v>
      </c>
      <c r="G71">
        <v>0.25</v>
      </c>
      <c r="H71">
        <v>0</v>
      </c>
      <c r="I71">
        <v>0</v>
      </c>
      <c r="J71">
        <v>3.25</v>
      </c>
      <c r="K71">
        <v>0</v>
      </c>
      <c r="L71">
        <v>0</v>
      </c>
      <c r="M71" s="23">
        <v>3.5</v>
      </c>
    </row>
    <row r="72" spans="3:13" x14ac:dyDescent="0.35">
      <c r="C72" s="19">
        <v>0</v>
      </c>
      <c r="I72">
        <v>0</v>
      </c>
      <c r="J72">
        <v>3.3333333333333335</v>
      </c>
      <c r="M72" s="23">
        <v>3.3333333333333335</v>
      </c>
    </row>
    <row r="73" spans="3:13" x14ac:dyDescent="0.35">
      <c r="C73" s="19">
        <v>0</v>
      </c>
      <c r="D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 s="23">
        <v>3</v>
      </c>
    </row>
    <row r="74" spans="3:13" x14ac:dyDescent="0.35">
      <c r="C74" s="19">
        <v>0</v>
      </c>
      <c r="D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 s="23">
        <v>3</v>
      </c>
    </row>
    <row r="75" spans="3:13" x14ac:dyDescent="0.35">
      <c r="C75" s="19">
        <v>0</v>
      </c>
      <c r="D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 s="23">
        <v>3</v>
      </c>
    </row>
    <row r="76" spans="3:13" x14ac:dyDescent="0.35">
      <c r="C76" s="19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 s="23">
        <v>3</v>
      </c>
    </row>
    <row r="77" spans="3:13" x14ac:dyDescent="0.35">
      <c r="C77" s="19">
        <v>0</v>
      </c>
      <c r="D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 s="23">
        <v>3</v>
      </c>
    </row>
    <row r="78" spans="3:13" x14ac:dyDescent="0.35">
      <c r="C78" s="19">
        <v>0</v>
      </c>
      <c r="I78">
        <v>0</v>
      </c>
      <c r="J78">
        <v>2.8333333333333335</v>
      </c>
      <c r="M78" s="23">
        <v>2.8333333333333335</v>
      </c>
    </row>
    <row r="79" spans="3:13" x14ac:dyDescent="0.35">
      <c r="C79" s="19">
        <v>0</v>
      </c>
      <c r="D79">
        <v>0</v>
      </c>
      <c r="E79">
        <v>0</v>
      </c>
      <c r="F79">
        <v>0</v>
      </c>
      <c r="G79">
        <v>2.5833333333333335</v>
      </c>
      <c r="H79">
        <v>0</v>
      </c>
      <c r="I79">
        <v>0</v>
      </c>
      <c r="K79">
        <v>0</v>
      </c>
      <c r="L79">
        <v>0</v>
      </c>
      <c r="M79" s="23">
        <v>2.5833333333333335</v>
      </c>
    </row>
    <row r="80" spans="3:13" x14ac:dyDescent="0.35">
      <c r="C80" s="19">
        <v>0</v>
      </c>
      <c r="D80">
        <v>0</v>
      </c>
      <c r="E80">
        <v>0</v>
      </c>
      <c r="F80">
        <v>0</v>
      </c>
      <c r="G80">
        <v>2.0833333333333335</v>
      </c>
      <c r="H80">
        <v>0</v>
      </c>
      <c r="I80">
        <v>0</v>
      </c>
      <c r="K80">
        <v>0</v>
      </c>
      <c r="L80">
        <v>0</v>
      </c>
      <c r="M80" s="23">
        <v>2.0833333333333335</v>
      </c>
    </row>
    <row r="81" spans="3:13" x14ac:dyDescent="0.35">
      <c r="C81" s="19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 s="23">
        <v>2</v>
      </c>
    </row>
    <row r="82" spans="3:13" x14ac:dyDescent="0.35">
      <c r="C82" s="19">
        <v>0</v>
      </c>
      <c r="D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 s="23">
        <v>2</v>
      </c>
    </row>
    <row r="83" spans="3:13" x14ac:dyDescent="0.35">
      <c r="C83" s="19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 s="23">
        <v>2</v>
      </c>
    </row>
    <row r="84" spans="3:13" x14ac:dyDescent="0.35">
      <c r="C84" s="19">
        <v>0</v>
      </c>
      <c r="D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 s="23">
        <v>2</v>
      </c>
    </row>
    <row r="85" spans="3:13" x14ac:dyDescent="0.35">
      <c r="C85" s="19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 s="23">
        <v>2</v>
      </c>
    </row>
    <row r="86" spans="3:13" x14ac:dyDescent="0.35">
      <c r="C86" s="19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 s="23">
        <v>2</v>
      </c>
    </row>
    <row r="87" spans="3:13" x14ac:dyDescent="0.35">
      <c r="C87" s="19">
        <v>0</v>
      </c>
      <c r="D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 s="23">
        <v>2</v>
      </c>
    </row>
    <row r="88" spans="3:13" x14ac:dyDescent="0.35">
      <c r="C88" s="19">
        <v>0</v>
      </c>
      <c r="D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 s="23">
        <v>2</v>
      </c>
    </row>
    <row r="89" spans="3:13" x14ac:dyDescent="0.35">
      <c r="C89" s="19">
        <v>0</v>
      </c>
      <c r="D89">
        <v>0</v>
      </c>
      <c r="E89">
        <v>0</v>
      </c>
      <c r="F89">
        <v>0</v>
      </c>
      <c r="G89">
        <v>1.6666666666666667</v>
      </c>
      <c r="H89">
        <v>0</v>
      </c>
      <c r="I89">
        <v>0</v>
      </c>
      <c r="K89">
        <v>0</v>
      </c>
      <c r="L89">
        <v>0</v>
      </c>
      <c r="M89" s="23">
        <v>1.6666666666666667</v>
      </c>
    </row>
    <row r="90" spans="3:13" x14ac:dyDescent="0.35">
      <c r="C90" s="19">
        <v>0</v>
      </c>
      <c r="D90">
        <v>0</v>
      </c>
      <c r="I90">
        <v>0</v>
      </c>
      <c r="J90">
        <v>1.5</v>
      </c>
      <c r="M90" s="23">
        <v>1.5</v>
      </c>
    </row>
    <row r="91" spans="3:13" x14ac:dyDescent="0.35">
      <c r="C91" s="19">
        <v>0</v>
      </c>
      <c r="D91">
        <v>0</v>
      </c>
      <c r="E91">
        <v>0</v>
      </c>
      <c r="F91">
        <v>0</v>
      </c>
      <c r="G91">
        <v>1.375</v>
      </c>
      <c r="H91">
        <v>0</v>
      </c>
      <c r="I91">
        <v>0</v>
      </c>
      <c r="K91">
        <v>0</v>
      </c>
      <c r="L91">
        <v>0</v>
      </c>
      <c r="M91" s="23">
        <v>1.375</v>
      </c>
    </row>
    <row r="92" spans="3:13" x14ac:dyDescent="0.35">
      <c r="C92" s="19">
        <v>0</v>
      </c>
      <c r="I92">
        <v>0</v>
      </c>
      <c r="J92">
        <v>1.3333333333333333</v>
      </c>
      <c r="M92" s="23">
        <v>1.3333333333333333</v>
      </c>
    </row>
    <row r="93" spans="3:13" x14ac:dyDescent="0.35">
      <c r="C93" s="19">
        <v>0</v>
      </c>
      <c r="D93">
        <v>0</v>
      </c>
      <c r="E93">
        <v>0</v>
      </c>
      <c r="F93">
        <v>0</v>
      </c>
      <c r="G93">
        <v>1.1666666666666667</v>
      </c>
      <c r="H93">
        <v>0</v>
      </c>
      <c r="I93">
        <v>0</v>
      </c>
      <c r="K93">
        <v>0</v>
      </c>
      <c r="L93">
        <v>0</v>
      </c>
      <c r="M93" s="23">
        <v>1.1666666666666667</v>
      </c>
    </row>
    <row r="94" spans="3:13" x14ac:dyDescent="0.35">
      <c r="C94" s="19">
        <v>0</v>
      </c>
      <c r="D94">
        <v>0</v>
      </c>
      <c r="E94">
        <v>0</v>
      </c>
      <c r="F94">
        <v>0</v>
      </c>
      <c r="G94">
        <v>1.0833333333333333</v>
      </c>
      <c r="H94">
        <v>0</v>
      </c>
      <c r="I94">
        <v>0</v>
      </c>
      <c r="K94">
        <v>0</v>
      </c>
      <c r="L94">
        <v>0</v>
      </c>
      <c r="M94" s="23">
        <v>1.0833333333333333</v>
      </c>
    </row>
    <row r="95" spans="3:13" x14ac:dyDescent="0.35">
      <c r="C95" s="19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K95">
        <v>0</v>
      </c>
      <c r="L95">
        <v>0</v>
      </c>
      <c r="M95" s="23">
        <v>1</v>
      </c>
    </row>
    <row r="96" spans="3:13" x14ac:dyDescent="0.35">
      <c r="C96" s="19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s="23">
        <v>1</v>
      </c>
    </row>
    <row r="97" spans="3:13" x14ac:dyDescent="0.35">
      <c r="C97" s="19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s="23">
        <v>1</v>
      </c>
    </row>
    <row r="98" spans="3:13" x14ac:dyDescent="0.35">
      <c r="C98" s="19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s="23">
        <v>1</v>
      </c>
    </row>
    <row r="99" spans="3:13" x14ac:dyDescent="0.35">
      <c r="C99" s="19" t="s">
        <v>32</v>
      </c>
      <c r="D99">
        <v>0</v>
      </c>
      <c r="E99">
        <v>0</v>
      </c>
      <c r="F99">
        <v>0</v>
      </c>
      <c r="G99">
        <v>0.95833333333333337</v>
      </c>
      <c r="H99">
        <v>0</v>
      </c>
      <c r="I99">
        <v>0</v>
      </c>
      <c r="K99">
        <v>0</v>
      </c>
      <c r="L99">
        <v>0</v>
      </c>
      <c r="M99" s="23">
        <v>0.95833333333333337</v>
      </c>
    </row>
    <row r="100" spans="3:13" x14ac:dyDescent="0.35">
      <c r="C100" s="19">
        <v>0</v>
      </c>
      <c r="D100">
        <v>0</v>
      </c>
      <c r="E100">
        <v>0</v>
      </c>
      <c r="F100">
        <v>0</v>
      </c>
      <c r="G100">
        <v>0.83333333333333337</v>
      </c>
      <c r="H100">
        <v>0</v>
      </c>
      <c r="I100">
        <v>0</v>
      </c>
      <c r="K100">
        <v>0</v>
      </c>
      <c r="L100">
        <v>0</v>
      </c>
      <c r="M100" s="23">
        <v>0.83333333333333337</v>
      </c>
    </row>
    <row r="101" spans="3:13" x14ac:dyDescent="0.35">
      <c r="C101" s="19">
        <v>0</v>
      </c>
      <c r="D101">
        <v>0</v>
      </c>
      <c r="E101">
        <v>0</v>
      </c>
      <c r="F101">
        <v>0</v>
      </c>
      <c r="G101">
        <v>0.66666666666666663</v>
      </c>
      <c r="H101">
        <v>0</v>
      </c>
      <c r="I101">
        <v>0</v>
      </c>
      <c r="K101">
        <v>0</v>
      </c>
      <c r="L101">
        <v>0</v>
      </c>
      <c r="M101" s="23">
        <v>0.66666666666666663</v>
      </c>
    </row>
    <row r="102" spans="3:13" x14ac:dyDescent="0.35">
      <c r="C102" s="19">
        <v>0</v>
      </c>
      <c r="G102">
        <v>0.66666666666666663</v>
      </c>
      <c r="H102">
        <v>0</v>
      </c>
      <c r="M102" s="23">
        <v>0.66666666666666663</v>
      </c>
    </row>
    <row r="103" spans="3:13" x14ac:dyDescent="0.35">
      <c r="C103" s="19">
        <v>0</v>
      </c>
      <c r="D103">
        <v>0</v>
      </c>
      <c r="F103">
        <v>0</v>
      </c>
      <c r="G103">
        <v>0</v>
      </c>
      <c r="H103">
        <v>0</v>
      </c>
      <c r="I103">
        <v>0</v>
      </c>
      <c r="J103">
        <v>0.66666666666666663</v>
      </c>
      <c r="K103">
        <v>0</v>
      </c>
      <c r="L103">
        <v>0</v>
      </c>
      <c r="M103" s="23">
        <v>0.66666666666666663</v>
      </c>
    </row>
    <row r="104" spans="3:13" x14ac:dyDescent="0.35">
      <c r="C104" s="19">
        <v>0</v>
      </c>
      <c r="D104">
        <v>0</v>
      </c>
      <c r="E104">
        <v>0</v>
      </c>
      <c r="F104">
        <v>0</v>
      </c>
      <c r="G104">
        <v>0.5</v>
      </c>
      <c r="H104">
        <v>0</v>
      </c>
      <c r="I104">
        <v>0</v>
      </c>
      <c r="K104">
        <v>0</v>
      </c>
      <c r="L104">
        <v>0</v>
      </c>
      <c r="M104" s="23">
        <v>0.5</v>
      </c>
    </row>
    <row r="105" spans="3:13" x14ac:dyDescent="0.35">
      <c r="C105" s="19" t="s">
        <v>72</v>
      </c>
      <c r="D105">
        <v>0</v>
      </c>
      <c r="E105">
        <v>0</v>
      </c>
      <c r="F105">
        <v>0</v>
      </c>
      <c r="G105">
        <v>0.33333333333333331</v>
      </c>
      <c r="H105">
        <v>0</v>
      </c>
      <c r="I105">
        <v>0</v>
      </c>
      <c r="J105">
        <v>0</v>
      </c>
      <c r="K105">
        <v>0</v>
      </c>
      <c r="L105">
        <v>0</v>
      </c>
      <c r="M105" s="23">
        <v>0.33333333333333331</v>
      </c>
    </row>
    <row r="106" spans="3:13" x14ac:dyDescent="0.35">
      <c r="C106" s="19">
        <v>0</v>
      </c>
      <c r="D106">
        <v>0</v>
      </c>
      <c r="E106">
        <v>0</v>
      </c>
      <c r="F106">
        <v>0</v>
      </c>
      <c r="G106">
        <v>0.33333333333333331</v>
      </c>
      <c r="H106">
        <v>0</v>
      </c>
      <c r="I106">
        <v>0</v>
      </c>
      <c r="K106">
        <v>0</v>
      </c>
      <c r="L106">
        <v>0</v>
      </c>
      <c r="M106" s="23">
        <v>0.33333333333333331</v>
      </c>
    </row>
    <row r="107" spans="3:13" x14ac:dyDescent="0.35">
      <c r="C107" s="19">
        <v>0</v>
      </c>
      <c r="D107">
        <v>0</v>
      </c>
      <c r="E107">
        <v>0</v>
      </c>
      <c r="F107">
        <v>0</v>
      </c>
      <c r="G107">
        <v>0.33333333333333331</v>
      </c>
      <c r="H107">
        <v>0</v>
      </c>
      <c r="I107">
        <v>0</v>
      </c>
      <c r="K107">
        <v>0</v>
      </c>
      <c r="L107">
        <v>0</v>
      </c>
      <c r="M107" s="23">
        <v>0.33333333333333331</v>
      </c>
    </row>
    <row r="108" spans="3:13" x14ac:dyDescent="0.35">
      <c r="C108" s="19">
        <v>0</v>
      </c>
      <c r="D108">
        <v>0</v>
      </c>
      <c r="E108">
        <v>0</v>
      </c>
      <c r="F108">
        <v>0</v>
      </c>
      <c r="G108">
        <v>0.33333333333333331</v>
      </c>
      <c r="H108">
        <v>0</v>
      </c>
      <c r="I108">
        <v>0</v>
      </c>
      <c r="K108">
        <v>0</v>
      </c>
      <c r="L108">
        <v>0</v>
      </c>
      <c r="M108" s="23">
        <v>0.33333333333333331</v>
      </c>
    </row>
    <row r="109" spans="3:13" x14ac:dyDescent="0.35">
      <c r="C109" s="19">
        <v>0</v>
      </c>
      <c r="D109">
        <v>0</v>
      </c>
      <c r="E109">
        <v>0</v>
      </c>
      <c r="F109">
        <v>0</v>
      </c>
      <c r="G109">
        <v>0.25</v>
      </c>
      <c r="H109">
        <v>0</v>
      </c>
      <c r="I109">
        <v>0</v>
      </c>
      <c r="K109">
        <v>0</v>
      </c>
      <c r="L109">
        <v>0</v>
      </c>
      <c r="M109" s="23">
        <v>0.25</v>
      </c>
    </row>
    <row r="110" spans="3:13" x14ac:dyDescent="0.35">
      <c r="C110" s="19">
        <v>0</v>
      </c>
      <c r="D110">
        <v>0</v>
      </c>
      <c r="E110">
        <v>0</v>
      </c>
      <c r="F110">
        <v>0</v>
      </c>
      <c r="G110">
        <v>0.16666666666666666</v>
      </c>
      <c r="H110">
        <v>0</v>
      </c>
      <c r="I110">
        <v>0</v>
      </c>
      <c r="K110">
        <v>0</v>
      </c>
      <c r="L110">
        <v>0</v>
      </c>
      <c r="M110" s="23">
        <v>0.16666666666666666</v>
      </c>
    </row>
    <row r="111" spans="3:13" x14ac:dyDescent="0.35">
      <c r="C111" s="19">
        <v>0</v>
      </c>
      <c r="D111">
        <v>0</v>
      </c>
      <c r="E111">
        <v>0</v>
      </c>
      <c r="F111">
        <v>0</v>
      </c>
      <c r="G111">
        <v>8.3333333333333329E-2</v>
      </c>
      <c r="H111">
        <v>0</v>
      </c>
      <c r="I111">
        <v>0</v>
      </c>
      <c r="K111">
        <v>0</v>
      </c>
      <c r="L111">
        <v>0</v>
      </c>
      <c r="M111" s="23">
        <v>8.3333333333333329E-2</v>
      </c>
    </row>
    <row r="112" spans="3:13" x14ac:dyDescent="0.35">
      <c r="C112" s="19">
        <v>0</v>
      </c>
      <c r="D112">
        <v>0</v>
      </c>
      <c r="E112">
        <v>0</v>
      </c>
      <c r="F112">
        <v>0</v>
      </c>
      <c r="G112">
        <v>8.3333333333333329E-2</v>
      </c>
      <c r="H112">
        <v>0</v>
      </c>
      <c r="I112">
        <v>0</v>
      </c>
      <c r="K112">
        <v>0</v>
      </c>
      <c r="L112">
        <v>0</v>
      </c>
      <c r="M112" s="23">
        <v>8.3333333333333329E-2</v>
      </c>
    </row>
    <row r="113" spans="3:13" x14ac:dyDescent="0.35">
      <c r="C113" s="20"/>
      <c r="D113" s="23">
        <v>3393.2521315468939</v>
      </c>
      <c r="E113" s="23">
        <v>41282.021924482338</v>
      </c>
      <c r="F113" s="23">
        <v>24.250913520097441</v>
      </c>
      <c r="G113" s="23">
        <v>26381.644336175395</v>
      </c>
      <c r="H113" s="23">
        <v>16.077953714981728</v>
      </c>
      <c r="I113" s="23">
        <v>0.2679658952496955</v>
      </c>
      <c r="J113" s="23">
        <v>456.61388550548116</v>
      </c>
      <c r="K113" s="23">
        <v>6251.6443361753954</v>
      </c>
      <c r="L113" s="23">
        <v>2015.2375152253351</v>
      </c>
      <c r="M113" s="23">
        <v>79821.010962241169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2FAE-10D9-42CC-A091-CEC301973EB0}">
  <dimension ref="A2:BE70"/>
  <sheetViews>
    <sheetView workbookViewId="0">
      <selection activeCell="AG7" sqref="AG7"/>
    </sheetView>
  </sheetViews>
  <sheetFormatPr defaultRowHeight="14.5" x14ac:dyDescent="0.35"/>
  <cols>
    <col min="3" max="3" width="44.36328125" bestFit="1" customWidth="1"/>
    <col min="4" max="4" width="8.81640625" customWidth="1"/>
    <col min="5" max="5" width="11.7265625" customWidth="1"/>
    <col min="6" max="6" width="10.26953125" customWidth="1"/>
    <col min="7" max="7" width="11.1796875" customWidth="1"/>
    <col min="8" max="8" width="14" customWidth="1"/>
    <col min="10" max="10" width="10.6328125" customWidth="1"/>
    <col min="11" max="11" width="10.81640625" customWidth="1"/>
    <col min="12" max="12" width="16.453125" customWidth="1"/>
    <col min="13" max="13" width="20.90625" customWidth="1"/>
    <col min="15" max="15" width="11.7265625" customWidth="1"/>
    <col min="16" max="16" width="10.1796875" customWidth="1"/>
    <col min="18" max="19" width="13.7265625" customWidth="1"/>
    <col min="20" max="20" width="13.08984375" customWidth="1"/>
    <col min="21" max="21" width="10.54296875" customWidth="1"/>
    <col min="22" max="22" width="16.453125" customWidth="1"/>
    <col min="23" max="23" width="43.453125" customWidth="1"/>
    <col min="24" max="24" width="18.08984375" customWidth="1"/>
    <col min="25" max="25" width="16.54296875" customWidth="1"/>
    <col min="26" max="26" width="11.81640625" bestFit="1" customWidth="1"/>
    <col min="27" max="27" width="14" bestFit="1" customWidth="1"/>
    <col min="28" max="28" width="13.90625" bestFit="1" customWidth="1"/>
    <col min="30" max="30" width="11.26953125" bestFit="1" customWidth="1"/>
    <col min="31" max="31" width="13.81640625" bestFit="1" customWidth="1"/>
    <col min="33" max="33" width="21" customWidth="1"/>
    <col min="34" max="34" width="36.08984375" bestFit="1" customWidth="1"/>
    <col min="35" max="35" width="8.81640625" customWidth="1"/>
    <col min="36" max="36" width="11.81640625" customWidth="1"/>
    <col min="37" max="37" width="10" customWidth="1"/>
    <col min="38" max="39" width="13.7265625" customWidth="1"/>
    <col min="40" max="40" width="9.6328125" customWidth="1"/>
    <col min="41" max="41" width="27.36328125" bestFit="1" customWidth="1"/>
    <col min="42" max="42" width="9.6328125" bestFit="1" customWidth="1"/>
    <col min="43" max="43" width="10.26953125" customWidth="1"/>
    <col min="44" max="44" width="12.6328125" bestFit="1" customWidth="1"/>
    <col min="45" max="45" width="14" bestFit="1" customWidth="1"/>
    <col min="46" max="46" width="10.26953125" bestFit="1" customWidth="1"/>
    <col min="47" max="47" width="18.81640625" bestFit="1" customWidth="1"/>
    <col min="50" max="50" width="18.90625" customWidth="1"/>
    <col min="51" max="51" width="21.6328125" customWidth="1"/>
  </cols>
  <sheetData>
    <row r="2" spans="1:57" x14ac:dyDescent="0.35">
      <c r="C2">
        <f>1200*50</f>
        <v>60000</v>
      </c>
      <c r="W2">
        <f>31+36+120</f>
        <v>187</v>
      </c>
      <c r="AA2" s="24">
        <f>Y17-Z17-AD17</f>
        <v>0</v>
      </c>
      <c r="AB2" s="24">
        <f>X17-AB17</f>
        <v>0</v>
      </c>
      <c r="AC2" s="24">
        <f>AB2-AA2</f>
        <v>0</v>
      </c>
      <c r="AE2" s="25">
        <f>AG31*6</f>
        <v>0</v>
      </c>
      <c r="AF2" s="25"/>
      <c r="AG2" s="25"/>
      <c r="AH2" s="25"/>
      <c r="AJ2" s="26"/>
    </row>
    <row r="3" spans="1:57" x14ac:dyDescent="0.35">
      <c r="G3" s="24"/>
      <c r="H3" s="24"/>
      <c r="I3" s="24"/>
      <c r="J3" s="24"/>
      <c r="K3" s="25"/>
      <c r="L3" s="25"/>
      <c r="P3" s="24"/>
      <c r="Q3" s="24"/>
      <c r="U3" s="27"/>
      <c r="V3" s="27"/>
      <c r="W3" s="27"/>
      <c r="X3" s="24"/>
      <c r="Y3" s="24">
        <f>3/12</f>
        <v>0.25</v>
      </c>
      <c r="Z3" s="24">
        <f>1/12</f>
        <v>8.3333333333333329E-2</v>
      </c>
      <c r="AA3" s="24"/>
      <c r="AD3" s="25">
        <f>0.5-AG24</f>
        <v>0.5</v>
      </c>
      <c r="AE3" s="25"/>
      <c r="AF3" s="25">
        <f>1-AG20</f>
        <v>1</v>
      </c>
      <c r="AG3" s="25">
        <f>AF3*6</f>
        <v>6</v>
      </c>
      <c r="AH3" s="25"/>
      <c r="AI3" s="25"/>
      <c r="AR3">
        <f>142561/12</f>
        <v>11880.083333333334</v>
      </c>
    </row>
    <row r="4" spans="1:57" x14ac:dyDescent="0.35">
      <c r="AG4" s="28"/>
    </row>
    <row r="5" spans="1:57" x14ac:dyDescent="0.35">
      <c r="B5" s="29"/>
      <c r="C5" s="29"/>
      <c r="D5" s="79" t="s">
        <v>74</v>
      </c>
      <c r="E5" s="80"/>
      <c r="F5" s="80"/>
      <c r="G5" s="80"/>
      <c r="H5" s="80"/>
      <c r="I5" s="80"/>
      <c r="J5" s="80"/>
      <c r="K5" s="80"/>
      <c r="L5" s="80"/>
      <c r="M5" s="81"/>
      <c r="N5" s="79" t="s">
        <v>75</v>
      </c>
      <c r="O5" s="80"/>
      <c r="P5" s="80"/>
      <c r="Q5" s="80"/>
      <c r="R5" s="80"/>
      <c r="S5" s="80"/>
      <c r="T5" s="80"/>
      <c r="U5" s="80"/>
      <c r="V5" s="80"/>
      <c r="W5" s="30"/>
      <c r="X5" s="79" t="s">
        <v>76</v>
      </c>
      <c r="Y5" s="80"/>
      <c r="Z5" s="80"/>
      <c r="AA5" s="80"/>
      <c r="AB5" s="80"/>
      <c r="AC5" s="80"/>
      <c r="AD5" s="80"/>
      <c r="AE5" s="80"/>
      <c r="AF5" s="80"/>
      <c r="AG5" s="80"/>
      <c r="AH5" s="30"/>
      <c r="AI5" s="79" t="s">
        <v>77</v>
      </c>
      <c r="AJ5" s="80"/>
      <c r="AK5" s="80"/>
      <c r="AL5" s="80"/>
      <c r="AM5" s="80"/>
      <c r="AN5" s="80"/>
      <c r="AO5" s="30"/>
      <c r="AP5" s="79" t="s">
        <v>78</v>
      </c>
      <c r="AQ5" s="80"/>
      <c r="AR5" s="80"/>
      <c r="AS5" s="80"/>
      <c r="AT5" s="80"/>
      <c r="AU5" s="80"/>
    </row>
    <row r="6" spans="1:57" ht="29" x14ac:dyDescent="0.35">
      <c r="B6" s="31" t="s">
        <v>79</v>
      </c>
      <c r="C6" s="32" t="s">
        <v>80</v>
      </c>
      <c r="D6" s="33" t="s">
        <v>81</v>
      </c>
      <c r="E6" s="33" t="s">
        <v>82</v>
      </c>
      <c r="F6" s="33" t="s">
        <v>83</v>
      </c>
      <c r="G6" s="33" t="s">
        <v>84</v>
      </c>
      <c r="H6" s="33" t="s">
        <v>85</v>
      </c>
      <c r="I6" s="33" t="s">
        <v>86</v>
      </c>
      <c r="J6" s="33" t="s">
        <v>87</v>
      </c>
      <c r="K6" s="33" t="s">
        <v>88</v>
      </c>
      <c r="L6" s="33" t="s">
        <v>89</v>
      </c>
      <c r="M6" s="33" t="s">
        <v>90</v>
      </c>
      <c r="N6" s="33" t="s">
        <v>81</v>
      </c>
      <c r="O6" s="33" t="s">
        <v>82</v>
      </c>
      <c r="P6" s="33" t="s">
        <v>91</v>
      </c>
      <c r="Q6" s="33" t="s">
        <v>86</v>
      </c>
      <c r="R6" s="33" t="s">
        <v>92</v>
      </c>
      <c r="S6" s="33" t="s">
        <v>84</v>
      </c>
      <c r="T6" s="33" t="s">
        <v>88</v>
      </c>
      <c r="U6" s="33" t="s">
        <v>93</v>
      </c>
      <c r="V6" s="33" t="s">
        <v>89</v>
      </c>
      <c r="W6" s="33" t="s">
        <v>94</v>
      </c>
      <c r="X6" s="33" t="s">
        <v>81</v>
      </c>
      <c r="Y6" s="33" t="s">
        <v>82</v>
      </c>
      <c r="Z6" s="33" t="s">
        <v>95</v>
      </c>
      <c r="AA6" s="33" t="s">
        <v>96</v>
      </c>
      <c r="AB6" s="33" t="s">
        <v>92</v>
      </c>
      <c r="AC6" s="33" t="s">
        <v>86</v>
      </c>
      <c r="AD6" s="33" t="s">
        <v>97</v>
      </c>
      <c r="AE6" s="33" t="s">
        <v>98</v>
      </c>
      <c r="AF6" s="33" t="s">
        <v>99</v>
      </c>
      <c r="AG6" s="33" t="s">
        <v>89</v>
      </c>
      <c r="AH6" s="33" t="s">
        <v>90</v>
      </c>
      <c r="AI6" s="33" t="s">
        <v>81</v>
      </c>
      <c r="AJ6" s="33" t="s">
        <v>82</v>
      </c>
      <c r="AK6" s="33" t="s">
        <v>100</v>
      </c>
      <c r="AL6" s="33" t="s">
        <v>92</v>
      </c>
      <c r="AM6" s="33" t="s">
        <v>88</v>
      </c>
      <c r="AN6" s="33" t="s">
        <v>101</v>
      </c>
      <c r="AO6" s="33"/>
      <c r="AP6" s="33" t="s">
        <v>81</v>
      </c>
      <c r="AQ6" s="33" t="s">
        <v>82</v>
      </c>
      <c r="AR6" s="33" t="s">
        <v>102</v>
      </c>
      <c r="AS6" s="33" t="s">
        <v>103</v>
      </c>
      <c r="AT6" s="33" t="s">
        <v>101</v>
      </c>
      <c r="AU6" s="33" t="s">
        <v>90</v>
      </c>
    </row>
    <row r="7" spans="1:57" x14ac:dyDescent="0.35">
      <c r="A7" s="16"/>
      <c r="B7" s="34">
        <v>785845</v>
      </c>
      <c r="C7" s="16" t="s">
        <v>11</v>
      </c>
      <c r="D7" s="35"/>
      <c r="E7" s="35"/>
      <c r="F7" s="35"/>
      <c r="G7" s="35"/>
      <c r="H7" s="35"/>
      <c r="I7" s="35"/>
      <c r="J7" s="35"/>
      <c r="K7" s="35"/>
      <c r="L7" s="36">
        <f t="shared" ref="L7:L42" si="0">D7-E7-J7-G7+K7-H7+F7</f>
        <v>0</v>
      </c>
      <c r="M7" s="37"/>
      <c r="N7" s="35"/>
      <c r="O7" s="35"/>
      <c r="P7" s="38"/>
      <c r="Q7" s="38"/>
      <c r="R7" s="16"/>
      <c r="S7" s="16"/>
      <c r="T7" s="16"/>
      <c r="U7" s="16"/>
      <c r="V7" s="36">
        <f t="shared" ref="V7:V42" si="1">N7-(O7+S7)-T7+U7-R7+Q7-P7</f>
        <v>0</v>
      </c>
      <c r="W7" s="36"/>
      <c r="X7" s="39"/>
      <c r="Y7" s="39"/>
      <c r="Z7" s="40"/>
      <c r="AA7" s="41"/>
      <c r="AB7" s="41"/>
      <c r="AC7" s="41"/>
      <c r="AD7" s="41"/>
      <c r="AE7" s="40"/>
      <c r="AF7" s="40"/>
      <c r="AG7" s="42">
        <f t="shared" ref="AG7" si="2">(X7+Z7)-(Y7+AB7+AF7-AC7)+AD7-AE7-AA7</f>
        <v>0</v>
      </c>
      <c r="AH7" s="42"/>
      <c r="AI7" s="38"/>
      <c r="AJ7" s="38"/>
      <c r="AK7" s="38"/>
      <c r="AL7" s="40"/>
      <c r="AM7" s="40"/>
      <c r="AN7" s="36">
        <f t="shared" ref="AN7:AN14" si="3">AI7-AJ7-AM7-AL7</f>
        <v>0</v>
      </c>
      <c r="AO7" s="36"/>
      <c r="AP7" s="43"/>
      <c r="AQ7" s="43"/>
      <c r="AR7" s="43"/>
      <c r="AS7" s="43"/>
      <c r="AT7" s="36">
        <f>AP7-AQ7-AR7-AS7</f>
        <v>0</v>
      </c>
      <c r="AU7" s="37"/>
    </row>
    <row r="8" spans="1:57" x14ac:dyDescent="0.35">
      <c r="B8" s="34">
        <v>773443</v>
      </c>
      <c r="C8" s="16" t="s">
        <v>12</v>
      </c>
      <c r="D8" s="35"/>
      <c r="E8" s="35"/>
      <c r="F8" s="35"/>
      <c r="G8" s="35"/>
      <c r="H8" s="35"/>
      <c r="I8" s="35"/>
      <c r="J8" s="35"/>
      <c r="K8" s="35"/>
      <c r="L8" s="36">
        <f t="shared" si="0"/>
        <v>0</v>
      </c>
      <c r="M8" s="44"/>
      <c r="N8" s="35"/>
      <c r="O8" s="35"/>
      <c r="P8" s="38"/>
      <c r="Q8" s="38"/>
      <c r="R8" s="16"/>
      <c r="S8" s="16"/>
      <c r="T8" s="16"/>
      <c r="U8" s="16"/>
      <c r="V8" s="36">
        <f t="shared" si="1"/>
        <v>0</v>
      </c>
      <c r="W8" s="36" t="s">
        <v>104</v>
      </c>
      <c r="X8" s="39"/>
      <c r="Y8" s="39"/>
      <c r="Z8" s="40"/>
      <c r="AA8" s="41"/>
      <c r="AB8" s="41"/>
      <c r="AC8" s="45"/>
      <c r="AD8" s="41"/>
      <c r="AE8" s="40"/>
      <c r="AF8" s="19"/>
      <c r="AG8" s="42">
        <f>(X8+Z8)-(Y8+AB8+AF8-AC8)+AD8-AE8-AA8</f>
        <v>0</v>
      </c>
      <c r="AH8" s="42">
        <f>AG8*12</f>
        <v>0</v>
      </c>
      <c r="AI8" s="38"/>
      <c r="AJ8" s="38"/>
      <c r="AL8" s="40"/>
      <c r="AM8" s="40"/>
      <c r="AN8" s="36">
        <f t="shared" si="3"/>
        <v>0</v>
      </c>
      <c r="AO8" s="36"/>
      <c r="AP8" s="43"/>
      <c r="AQ8" s="43"/>
      <c r="AR8" s="43"/>
      <c r="AS8" s="40"/>
      <c r="AT8" s="36">
        <f>AP8-AQ8-AR8-AS8</f>
        <v>0</v>
      </c>
      <c r="AU8" s="37"/>
    </row>
    <row r="9" spans="1:57" x14ac:dyDescent="0.35">
      <c r="B9" s="34">
        <v>780811</v>
      </c>
      <c r="C9" s="16" t="s">
        <v>14</v>
      </c>
      <c r="D9" s="35"/>
      <c r="E9" s="35"/>
      <c r="F9" s="35"/>
      <c r="G9" s="35"/>
      <c r="H9" s="35"/>
      <c r="I9" s="35"/>
      <c r="J9" s="35"/>
      <c r="K9" s="35"/>
      <c r="L9" s="36">
        <f t="shared" si="0"/>
        <v>0</v>
      </c>
      <c r="M9" s="37"/>
      <c r="N9" s="35"/>
      <c r="O9" s="35"/>
      <c r="P9" s="38"/>
      <c r="Q9" s="38"/>
      <c r="R9" s="16"/>
      <c r="S9" s="16"/>
      <c r="T9" s="16"/>
      <c r="U9" s="16"/>
      <c r="V9" s="36">
        <f t="shared" si="1"/>
        <v>0</v>
      </c>
      <c r="W9" s="36"/>
      <c r="X9" s="39"/>
      <c r="Y9" s="39"/>
      <c r="Z9" s="35"/>
      <c r="AA9" s="45"/>
      <c r="AB9" s="41"/>
      <c r="AC9" s="41"/>
      <c r="AD9" s="41"/>
      <c r="AE9" s="40"/>
      <c r="AF9" s="40"/>
      <c r="AG9" s="42">
        <f t="shared" ref="AG9:AG42" si="4">(X9+Z9)-(Y9+AB9+AF9-AC9)+AD9-AE9-AA9</f>
        <v>0</v>
      </c>
      <c r="AH9" s="42">
        <f>AG9*12</f>
        <v>0</v>
      </c>
      <c r="AI9" s="38"/>
      <c r="AJ9" s="38"/>
      <c r="AK9" s="38"/>
      <c r="AL9" s="40"/>
      <c r="AM9" s="40"/>
      <c r="AN9" s="36">
        <f t="shared" si="3"/>
        <v>0</v>
      </c>
      <c r="AO9" s="36"/>
      <c r="AP9" s="43"/>
      <c r="AQ9" s="43"/>
      <c r="AR9" s="43"/>
      <c r="AS9" s="43"/>
      <c r="AT9" s="36">
        <f t="shared" ref="AT9:AT42" si="5">AP9-AQ9-AR9-AS9</f>
        <v>0</v>
      </c>
      <c r="AU9" s="37"/>
      <c r="BD9" s="16"/>
      <c r="BE9" s="16"/>
    </row>
    <row r="10" spans="1:57" x14ac:dyDescent="0.35">
      <c r="B10" s="34">
        <v>780810</v>
      </c>
      <c r="C10" s="16" t="s">
        <v>15</v>
      </c>
      <c r="D10" s="35"/>
      <c r="E10" s="35"/>
      <c r="F10" s="35"/>
      <c r="G10" s="35"/>
      <c r="H10" s="35"/>
      <c r="I10" s="35"/>
      <c r="J10" s="35"/>
      <c r="K10" s="35"/>
      <c r="L10" s="36">
        <f t="shared" si="0"/>
        <v>0</v>
      </c>
      <c r="M10" s="37"/>
      <c r="N10" s="35"/>
      <c r="O10" s="35"/>
      <c r="P10" s="38"/>
      <c r="Q10" s="38"/>
      <c r="R10" s="16"/>
      <c r="S10" s="16"/>
      <c r="T10" s="16"/>
      <c r="U10" s="16"/>
      <c r="V10" s="36">
        <f t="shared" si="1"/>
        <v>0</v>
      </c>
      <c r="W10" s="36"/>
      <c r="X10" s="39"/>
      <c r="Y10" s="39"/>
      <c r="Z10" s="40"/>
      <c r="AA10" s="41"/>
      <c r="AB10" s="41"/>
      <c r="AC10" s="41"/>
      <c r="AD10" s="41"/>
      <c r="AE10" s="40"/>
      <c r="AF10" s="40"/>
      <c r="AG10" s="42">
        <f t="shared" si="4"/>
        <v>0</v>
      </c>
      <c r="AH10" s="42">
        <f>AG10*6</f>
        <v>0</v>
      </c>
      <c r="AI10" s="38"/>
      <c r="AJ10" s="38"/>
      <c r="AK10" s="38"/>
      <c r="AL10" s="40"/>
      <c r="AM10" s="40"/>
      <c r="AN10" s="36">
        <f t="shared" si="3"/>
        <v>0</v>
      </c>
      <c r="AO10" s="36"/>
      <c r="AP10" s="43"/>
      <c r="AQ10" s="43"/>
      <c r="AR10" s="43"/>
      <c r="AS10" s="43"/>
      <c r="AT10" s="36">
        <f t="shared" si="5"/>
        <v>0</v>
      </c>
      <c r="AU10" s="37"/>
      <c r="BD10" s="16"/>
      <c r="BE10" s="16"/>
    </row>
    <row r="11" spans="1:57" x14ac:dyDescent="0.35">
      <c r="B11" s="34">
        <v>744473</v>
      </c>
      <c r="C11" s="16" t="s">
        <v>16</v>
      </c>
      <c r="D11" s="35"/>
      <c r="E11" s="35"/>
      <c r="F11" s="35"/>
      <c r="G11" s="35"/>
      <c r="H11" s="35"/>
      <c r="I11" s="35"/>
      <c r="J11" s="35"/>
      <c r="K11" s="35"/>
      <c r="L11" s="36">
        <f t="shared" si="0"/>
        <v>0</v>
      </c>
      <c r="M11" s="37"/>
      <c r="N11" s="35"/>
      <c r="O11" s="35"/>
      <c r="P11" s="38"/>
      <c r="Q11" s="38"/>
      <c r="R11" s="16"/>
      <c r="S11" s="16"/>
      <c r="T11" s="16"/>
      <c r="U11" s="16"/>
      <c r="V11" s="36">
        <f t="shared" si="1"/>
        <v>0</v>
      </c>
      <c r="W11" s="36"/>
      <c r="X11" s="39"/>
      <c r="Y11" s="39"/>
      <c r="Z11" s="40"/>
      <c r="AA11" s="41"/>
      <c r="AB11" s="41"/>
      <c r="AC11" s="41"/>
      <c r="AD11" s="41"/>
      <c r="AE11" s="40"/>
      <c r="AF11" s="40"/>
      <c r="AG11" s="42">
        <f t="shared" si="4"/>
        <v>0</v>
      </c>
      <c r="AH11" s="42">
        <f>AG11*6</f>
        <v>0</v>
      </c>
      <c r="AI11" s="38"/>
      <c r="AJ11" s="38"/>
      <c r="AK11" s="38"/>
      <c r="AL11" s="40"/>
      <c r="AM11" s="40"/>
      <c r="AN11" s="36">
        <f t="shared" si="3"/>
        <v>0</v>
      </c>
      <c r="AO11" s="36"/>
      <c r="AP11" s="43"/>
      <c r="AQ11" s="43"/>
      <c r="AR11" s="43"/>
      <c r="AS11" s="43"/>
      <c r="AT11" s="36">
        <f t="shared" si="5"/>
        <v>0</v>
      </c>
      <c r="AU11" s="37"/>
      <c r="BD11" s="16"/>
      <c r="BE11" s="16"/>
    </row>
    <row r="12" spans="1:57" x14ac:dyDescent="0.35">
      <c r="B12" s="34">
        <v>756915</v>
      </c>
      <c r="C12" s="16" t="s">
        <v>65</v>
      </c>
      <c r="D12" s="35"/>
      <c r="E12" s="35"/>
      <c r="F12" s="35"/>
      <c r="G12" s="35"/>
      <c r="H12" s="35"/>
      <c r="I12" s="35"/>
      <c r="J12" s="35"/>
      <c r="K12" s="35"/>
      <c r="L12" s="36">
        <f t="shared" si="0"/>
        <v>0</v>
      </c>
      <c r="M12" s="37"/>
      <c r="N12" s="35"/>
      <c r="O12" s="35"/>
      <c r="P12" s="38"/>
      <c r="Q12" s="38"/>
      <c r="R12" s="16"/>
      <c r="S12" s="16"/>
      <c r="T12" s="16"/>
      <c r="U12" s="16"/>
      <c r="V12" s="36">
        <f t="shared" si="1"/>
        <v>0</v>
      </c>
      <c r="W12" s="36"/>
      <c r="X12" s="39"/>
      <c r="Y12" s="39"/>
      <c r="Z12" s="40"/>
      <c r="AA12" s="41"/>
      <c r="AB12" s="46"/>
      <c r="AC12" s="41"/>
      <c r="AD12" s="41"/>
      <c r="AE12" s="40"/>
      <c r="AF12" s="35"/>
      <c r="AG12" s="42">
        <f t="shared" si="4"/>
        <v>0</v>
      </c>
      <c r="AH12" s="42"/>
      <c r="AI12" s="38"/>
      <c r="AJ12" s="38"/>
      <c r="AK12" s="38"/>
      <c r="AL12" s="40"/>
      <c r="AM12" s="40"/>
      <c r="AN12" s="36">
        <f t="shared" si="3"/>
        <v>0</v>
      </c>
      <c r="AO12" s="36"/>
      <c r="AP12" s="43"/>
      <c r="AQ12" s="43"/>
      <c r="AR12" s="43"/>
      <c r="AS12" s="43"/>
      <c r="AT12" s="36">
        <f t="shared" si="5"/>
        <v>0</v>
      </c>
      <c r="AU12" s="37"/>
      <c r="BD12" s="16"/>
      <c r="BE12" s="16"/>
    </row>
    <row r="13" spans="1:57" x14ac:dyDescent="0.35">
      <c r="B13" s="34">
        <v>711670</v>
      </c>
      <c r="C13" s="16" t="s">
        <v>18</v>
      </c>
      <c r="D13" s="35"/>
      <c r="E13" s="35"/>
      <c r="F13" s="35"/>
      <c r="G13" s="35"/>
      <c r="H13" s="35"/>
      <c r="I13" s="35"/>
      <c r="J13" s="35"/>
      <c r="K13" s="35"/>
      <c r="L13" s="36">
        <f t="shared" si="0"/>
        <v>0</v>
      </c>
      <c r="M13" s="37"/>
      <c r="N13" s="35"/>
      <c r="O13" s="35"/>
      <c r="P13" s="38"/>
      <c r="Q13" s="38"/>
      <c r="R13" s="16"/>
      <c r="S13" s="16"/>
      <c r="T13" s="16"/>
      <c r="U13" s="16"/>
      <c r="V13" s="36">
        <f t="shared" si="1"/>
        <v>0</v>
      </c>
      <c r="W13" s="36"/>
      <c r="X13" s="39"/>
      <c r="Y13" s="39"/>
      <c r="Z13" s="40"/>
      <c r="AA13" s="41"/>
      <c r="AB13" s="47"/>
      <c r="AC13" s="41"/>
      <c r="AD13" s="41"/>
      <c r="AE13" s="40"/>
      <c r="AF13" s="40"/>
      <c r="AG13" s="42">
        <f t="shared" si="4"/>
        <v>0</v>
      </c>
      <c r="AH13" s="42"/>
      <c r="AI13" s="38"/>
      <c r="AJ13" s="38"/>
      <c r="AK13" s="38"/>
      <c r="AL13" s="40"/>
      <c r="AM13" s="40"/>
      <c r="AN13" s="36">
        <f t="shared" si="3"/>
        <v>0</v>
      </c>
      <c r="AO13" s="36"/>
      <c r="AP13" s="43"/>
      <c r="AQ13" s="43"/>
      <c r="AR13" s="43"/>
      <c r="AS13" s="43"/>
      <c r="AT13" s="36">
        <f t="shared" si="5"/>
        <v>0</v>
      </c>
      <c r="AU13" s="37"/>
      <c r="BD13" s="16"/>
      <c r="BE13" s="16"/>
    </row>
    <row r="14" spans="1:57" x14ac:dyDescent="0.35">
      <c r="B14" s="34">
        <v>711707</v>
      </c>
      <c r="C14" s="17" t="s">
        <v>19</v>
      </c>
      <c r="D14" s="35"/>
      <c r="E14" s="35"/>
      <c r="F14" s="35"/>
      <c r="G14" s="35"/>
      <c r="H14" s="35"/>
      <c r="I14" s="35"/>
      <c r="J14" s="35"/>
      <c r="K14" s="35"/>
      <c r="L14" s="36">
        <f t="shared" si="0"/>
        <v>0</v>
      </c>
      <c r="M14" s="37"/>
      <c r="N14" s="35"/>
      <c r="O14" s="35"/>
      <c r="P14" s="38"/>
      <c r="Q14" s="38"/>
      <c r="R14" s="48"/>
      <c r="S14" s="7"/>
      <c r="T14" s="16"/>
      <c r="U14" s="16"/>
      <c r="V14" s="36">
        <f t="shared" si="1"/>
        <v>0</v>
      </c>
      <c r="W14" s="36"/>
      <c r="X14" s="39"/>
      <c r="Y14" s="39"/>
      <c r="Z14" s="40"/>
      <c r="AA14" s="41"/>
      <c r="AB14" s="41"/>
      <c r="AC14" s="41"/>
      <c r="AD14" s="41"/>
      <c r="AE14" s="40"/>
      <c r="AF14" s="40"/>
      <c r="AG14" s="42">
        <f t="shared" si="4"/>
        <v>0</v>
      </c>
      <c r="AH14" s="42"/>
      <c r="AI14" s="38"/>
      <c r="AJ14" s="38"/>
      <c r="AK14" s="38"/>
      <c r="AL14" s="40"/>
      <c r="AM14" s="40"/>
      <c r="AN14" s="36">
        <f t="shared" si="3"/>
        <v>0</v>
      </c>
      <c r="AO14" s="36"/>
      <c r="AP14" s="43"/>
      <c r="AQ14" s="43"/>
      <c r="AR14" s="43"/>
      <c r="AS14" s="43"/>
      <c r="AT14" s="36">
        <f t="shared" si="5"/>
        <v>0</v>
      </c>
      <c r="AU14" s="37"/>
      <c r="BD14" s="16"/>
      <c r="BE14" s="49"/>
    </row>
    <row r="15" spans="1:57" x14ac:dyDescent="0.35">
      <c r="B15" s="34">
        <v>765139</v>
      </c>
      <c r="C15" s="16" t="s">
        <v>21</v>
      </c>
      <c r="D15" s="35"/>
      <c r="E15" s="35"/>
      <c r="F15" s="35"/>
      <c r="G15" s="35"/>
      <c r="H15" s="35"/>
      <c r="I15" s="35"/>
      <c r="J15" s="35"/>
      <c r="K15" s="35"/>
      <c r="L15" s="36">
        <f t="shared" si="0"/>
        <v>0</v>
      </c>
      <c r="M15" s="37"/>
      <c r="N15" s="35"/>
      <c r="O15" s="35"/>
      <c r="P15" s="38"/>
      <c r="Q15" s="38"/>
      <c r="R15" s="16"/>
      <c r="S15" s="16"/>
      <c r="T15" s="16"/>
      <c r="U15" s="16"/>
      <c r="V15" s="36">
        <f t="shared" si="1"/>
        <v>0</v>
      </c>
      <c r="W15" s="36"/>
      <c r="X15" s="39"/>
      <c r="Y15" s="39"/>
      <c r="Z15" s="40"/>
      <c r="AA15" s="41"/>
      <c r="AB15" s="41"/>
      <c r="AC15" s="41"/>
      <c r="AD15" s="50"/>
      <c r="AE15" s="40"/>
      <c r="AF15" s="40"/>
      <c r="AG15" s="42">
        <f t="shared" si="4"/>
        <v>0</v>
      </c>
      <c r="AH15" s="42"/>
      <c r="AI15" s="38"/>
      <c r="AJ15" s="38"/>
      <c r="AK15" s="38"/>
      <c r="AL15" s="40"/>
      <c r="AM15" s="40"/>
      <c r="AN15" s="36">
        <f>AI15-AJ15-AM15-AL15</f>
        <v>0</v>
      </c>
      <c r="AO15" s="36"/>
      <c r="AP15" s="43"/>
      <c r="AQ15" s="43"/>
      <c r="AR15" s="43"/>
      <c r="AS15" s="43"/>
      <c r="AT15" s="36">
        <f t="shared" si="5"/>
        <v>0</v>
      </c>
      <c r="AU15" s="37"/>
      <c r="BD15" s="16"/>
      <c r="BE15" s="16"/>
    </row>
    <row r="16" spans="1:57" x14ac:dyDescent="0.35">
      <c r="B16" s="34">
        <v>746799</v>
      </c>
      <c r="C16" s="16" t="s">
        <v>24</v>
      </c>
      <c r="D16" s="35"/>
      <c r="E16" s="35"/>
      <c r="F16" s="35"/>
      <c r="G16" s="35"/>
      <c r="H16" s="35"/>
      <c r="I16" s="35"/>
      <c r="J16" s="35"/>
      <c r="K16" s="35"/>
      <c r="L16" s="36">
        <f t="shared" si="0"/>
        <v>0</v>
      </c>
      <c r="M16" s="37"/>
      <c r="N16" s="35"/>
      <c r="O16" s="35"/>
      <c r="P16" s="38"/>
      <c r="Q16" s="38"/>
      <c r="R16" s="16"/>
      <c r="S16" s="16"/>
      <c r="T16" s="16"/>
      <c r="U16" s="16"/>
      <c r="V16" s="36">
        <f t="shared" si="1"/>
        <v>0</v>
      </c>
      <c r="W16" s="36"/>
      <c r="X16" s="39"/>
      <c r="Y16" s="39"/>
      <c r="Z16" s="40"/>
      <c r="AA16" s="41"/>
      <c r="AB16" s="41"/>
      <c r="AC16" s="41"/>
      <c r="AD16" s="41"/>
      <c r="AE16" s="40"/>
      <c r="AF16" s="40"/>
      <c r="AG16" s="42">
        <f t="shared" si="4"/>
        <v>0</v>
      </c>
      <c r="AH16" s="42"/>
      <c r="AI16" s="38"/>
      <c r="AJ16" s="38"/>
      <c r="AK16" s="38"/>
      <c r="AL16" s="40"/>
      <c r="AM16" s="40"/>
      <c r="AN16" s="36">
        <f t="shared" ref="AN16:AN42" si="6">AI16-AJ16-AM16-AL16</f>
        <v>0</v>
      </c>
      <c r="AO16" s="36"/>
      <c r="AP16" s="43"/>
      <c r="AQ16" s="43"/>
      <c r="AR16" s="43"/>
      <c r="AS16" s="43"/>
      <c r="AT16" s="36">
        <f t="shared" si="5"/>
        <v>0</v>
      </c>
      <c r="AU16" s="37"/>
      <c r="BD16" s="16"/>
      <c r="BE16" s="16"/>
    </row>
    <row r="17" spans="2:57" x14ac:dyDescent="0.35">
      <c r="B17" s="34">
        <v>777982</v>
      </c>
      <c r="C17" s="51" t="s">
        <v>25</v>
      </c>
      <c r="D17" s="35"/>
      <c r="E17" s="35"/>
      <c r="F17" s="35"/>
      <c r="G17" s="35"/>
      <c r="H17" s="35"/>
      <c r="I17" s="35"/>
      <c r="J17" s="35"/>
      <c r="K17" s="35"/>
      <c r="L17" s="36">
        <f t="shared" si="0"/>
        <v>0</v>
      </c>
      <c r="M17" s="37"/>
      <c r="N17" s="35"/>
      <c r="O17" s="35"/>
      <c r="P17" s="38"/>
      <c r="Q17" s="38"/>
      <c r="R17" s="16"/>
      <c r="S17" s="16"/>
      <c r="T17" s="16"/>
      <c r="U17" s="16"/>
      <c r="V17" s="36">
        <f t="shared" si="1"/>
        <v>0</v>
      </c>
      <c r="W17" s="36"/>
      <c r="X17" s="39"/>
      <c r="Y17" s="39"/>
      <c r="Z17" s="35"/>
      <c r="AA17" s="41"/>
      <c r="AB17" s="46"/>
      <c r="AC17" s="40"/>
      <c r="AD17" s="41"/>
      <c r="AE17" s="40"/>
      <c r="AF17" s="35"/>
      <c r="AG17" s="42">
        <f t="shared" si="4"/>
        <v>0</v>
      </c>
      <c r="AH17" s="42"/>
      <c r="AI17" s="38"/>
      <c r="AJ17" s="38"/>
      <c r="AK17" s="38"/>
      <c r="AL17" s="40"/>
      <c r="AM17" s="40"/>
      <c r="AN17" s="36">
        <f t="shared" si="6"/>
        <v>0</v>
      </c>
      <c r="AO17" s="36"/>
      <c r="AP17" s="43"/>
      <c r="AQ17" s="43"/>
      <c r="AR17" s="43"/>
      <c r="AS17" s="43"/>
      <c r="AT17" s="36">
        <f t="shared" si="5"/>
        <v>0</v>
      </c>
      <c r="AU17" s="37"/>
      <c r="BD17" s="16"/>
      <c r="BE17" s="16"/>
    </row>
    <row r="18" spans="2:57" x14ac:dyDescent="0.35">
      <c r="B18" s="34">
        <v>751894</v>
      </c>
      <c r="C18" s="16" t="s">
        <v>26</v>
      </c>
      <c r="D18" s="35"/>
      <c r="E18" s="35"/>
      <c r="F18" s="35"/>
      <c r="G18" s="35"/>
      <c r="H18" s="35"/>
      <c r="I18" s="35"/>
      <c r="J18" s="35"/>
      <c r="K18" s="35"/>
      <c r="L18" s="36">
        <f t="shared" si="0"/>
        <v>0</v>
      </c>
      <c r="M18" s="37"/>
      <c r="N18" s="35"/>
      <c r="O18" s="35"/>
      <c r="P18" s="38"/>
      <c r="Q18" s="38"/>
      <c r="R18" s="16"/>
      <c r="S18" s="16"/>
      <c r="T18" s="16"/>
      <c r="U18" s="16"/>
      <c r="V18" s="36">
        <f t="shared" si="1"/>
        <v>0</v>
      </c>
      <c r="W18" s="36"/>
      <c r="X18" s="39"/>
      <c r="Y18" s="39"/>
      <c r="Z18" s="40"/>
      <c r="AA18" s="41"/>
      <c r="AB18" s="41"/>
      <c r="AC18" s="40"/>
      <c r="AD18" s="41"/>
      <c r="AE18" s="40"/>
      <c r="AF18" s="40"/>
      <c r="AG18" s="42">
        <f t="shared" si="4"/>
        <v>0</v>
      </c>
      <c r="AH18" s="42"/>
      <c r="AI18" s="38"/>
      <c r="AJ18" s="38"/>
      <c r="AK18" s="38"/>
      <c r="AL18" s="40"/>
      <c r="AM18" s="40"/>
      <c r="AN18" s="36">
        <f t="shared" si="6"/>
        <v>0</v>
      </c>
      <c r="AO18" s="36"/>
      <c r="AP18" s="43"/>
      <c r="AQ18" s="43"/>
      <c r="AR18" s="43"/>
      <c r="AS18" s="43"/>
      <c r="AT18" s="36">
        <f t="shared" si="5"/>
        <v>0</v>
      </c>
      <c r="AU18" s="37"/>
      <c r="BD18" s="16"/>
      <c r="BE18" s="16"/>
    </row>
    <row r="19" spans="2:57" x14ac:dyDescent="0.35">
      <c r="B19" s="34">
        <v>774224</v>
      </c>
      <c r="C19" s="51" t="s">
        <v>23</v>
      </c>
      <c r="D19" s="35"/>
      <c r="E19" s="35"/>
      <c r="F19" s="35"/>
      <c r="G19" s="35"/>
      <c r="H19" s="35"/>
      <c r="I19" s="35"/>
      <c r="J19" s="35"/>
      <c r="K19" s="35"/>
      <c r="L19" s="36">
        <f t="shared" si="0"/>
        <v>0</v>
      </c>
      <c r="M19" s="37"/>
      <c r="N19" s="35"/>
      <c r="O19" s="35"/>
      <c r="P19" s="52"/>
      <c r="Q19" s="52"/>
      <c r="R19" s="51"/>
      <c r="S19" s="51"/>
      <c r="T19" s="16"/>
      <c r="U19" s="16"/>
      <c r="V19" s="36">
        <f t="shared" si="1"/>
        <v>0</v>
      </c>
      <c r="W19" s="36"/>
      <c r="X19" s="39"/>
      <c r="Y19" s="39"/>
      <c r="Z19" s="40"/>
      <c r="AA19" s="41"/>
      <c r="AB19" s="41"/>
      <c r="AC19" s="41"/>
      <c r="AD19" s="41"/>
      <c r="AE19" s="40"/>
      <c r="AF19" s="40"/>
      <c r="AG19" s="42">
        <f t="shared" si="4"/>
        <v>0</v>
      </c>
      <c r="AH19" s="42"/>
      <c r="AI19" s="38"/>
      <c r="AJ19" s="38"/>
      <c r="AK19" s="38"/>
      <c r="AL19" s="40"/>
      <c r="AM19" s="40"/>
      <c r="AN19" s="36">
        <f t="shared" si="6"/>
        <v>0</v>
      </c>
      <c r="AO19" s="36"/>
      <c r="AP19" s="43"/>
      <c r="AQ19" s="43"/>
      <c r="AR19" s="43"/>
      <c r="AS19" s="40"/>
      <c r="AT19" s="36">
        <f t="shared" si="5"/>
        <v>0</v>
      </c>
      <c r="AU19" s="37"/>
      <c r="BD19" s="16"/>
      <c r="BE19" s="16"/>
    </row>
    <row r="20" spans="2:57" x14ac:dyDescent="0.35">
      <c r="B20" s="34">
        <v>773013</v>
      </c>
      <c r="C20" s="16" t="s">
        <v>27</v>
      </c>
      <c r="D20" s="35"/>
      <c r="E20" s="35"/>
      <c r="F20" s="35"/>
      <c r="G20" s="35"/>
      <c r="H20" s="35"/>
      <c r="I20" s="35"/>
      <c r="J20" s="35"/>
      <c r="K20" s="35"/>
      <c r="L20" s="36">
        <f t="shared" si="0"/>
        <v>0</v>
      </c>
      <c r="M20" s="37"/>
      <c r="N20" s="35"/>
      <c r="O20" s="35"/>
      <c r="P20" s="52"/>
      <c r="Q20" s="52"/>
      <c r="R20" s="51"/>
      <c r="S20" s="51"/>
      <c r="T20" s="16"/>
      <c r="U20" s="16"/>
      <c r="V20" s="36">
        <f t="shared" si="1"/>
        <v>0</v>
      </c>
      <c r="W20" s="36"/>
      <c r="X20" s="39"/>
      <c r="Y20" s="39"/>
      <c r="Z20" s="40"/>
      <c r="AA20" s="41"/>
      <c r="AB20" s="41"/>
      <c r="AC20" s="40"/>
      <c r="AD20" s="41"/>
      <c r="AE20" s="40"/>
      <c r="AF20" s="40"/>
      <c r="AG20" s="42">
        <f t="shared" si="4"/>
        <v>0</v>
      </c>
      <c r="AH20" s="42">
        <f>(AG20-1)*6</f>
        <v>-6</v>
      </c>
      <c r="AI20" s="38"/>
      <c r="AJ20" s="38"/>
      <c r="AK20" s="38"/>
      <c r="AL20" s="53"/>
      <c r="AM20" s="53"/>
      <c r="AN20" s="36">
        <f t="shared" si="6"/>
        <v>0</v>
      </c>
      <c r="AO20" s="36"/>
      <c r="AP20" s="43"/>
      <c r="AQ20" s="43"/>
      <c r="AR20" s="43"/>
      <c r="AS20" s="43"/>
      <c r="AT20" s="36">
        <f t="shared" si="5"/>
        <v>0</v>
      </c>
      <c r="AU20" s="37"/>
      <c r="BD20" s="16"/>
      <c r="BE20" s="16"/>
    </row>
    <row r="21" spans="2:57" x14ac:dyDescent="0.35">
      <c r="B21" s="34">
        <v>775836</v>
      </c>
      <c r="C21" s="16" t="s">
        <v>28</v>
      </c>
      <c r="D21" s="35"/>
      <c r="E21" s="35"/>
      <c r="F21" s="35"/>
      <c r="G21" s="35"/>
      <c r="H21" s="35"/>
      <c r="I21" s="35"/>
      <c r="J21" s="35"/>
      <c r="K21" s="35"/>
      <c r="L21" s="36">
        <f t="shared" si="0"/>
        <v>0</v>
      </c>
      <c r="M21" s="37"/>
      <c r="N21" s="35"/>
      <c r="O21" s="35"/>
      <c r="P21" s="52"/>
      <c r="Q21" s="52"/>
      <c r="R21" s="51"/>
      <c r="S21" s="51"/>
      <c r="T21" s="16"/>
      <c r="U21" s="16"/>
      <c r="V21" s="36">
        <f t="shared" si="1"/>
        <v>0</v>
      </c>
      <c r="W21" s="36"/>
      <c r="X21" s="39"/>
      <c r="Y21" s="39"/>
      <c r="Z21" s="40"/>
      <c r="AA21" s="41"/>
      <c r="AB21" s="41"/>
      <c r="AC21" s="40"/>
      <c r="AD21" s="41"/>
      <c r="AE21" s="40"/>
      <c r="AF21" s="40"/>
      <c r="AG21" s="42">
        <f t="shared" si="4"/>
        <v>0</v>
      </c>
      <c r="AH21" s="42"/>
      <c r="AI21" s="38"/>
      <c r="AJ21" s="38"/>
      <c r="AK21" s="38"/>
      <c r="AL21" s="40"/>
      <c r="AM21" s="40"/>
      <c r="AN21" s="36">
        <f t="shared" si="6"/>
        <v>0</v>
      </c>
      <c r="AO21" s="36"/>
      <c r="AP21" s="43"/>
      <c r="AQ21" s="43"/>
      <c r="AR21" s="43"/>
      <c r="AS21" s="43"/>
      <c r="AT21" s="36">
        <f t="shared" si="5"/>
        <v>0</v>
      </c>
      <c r="AU21" s="37"/>
      <c r="AZ21" s="37"/>
      <c r="BD21" s="16"/>
      <c r="BE21" s="54"/>
    </row>
    <row r="22" spans="2:57" x14ac:dyDescent="0.35">
      <c r="B22" s="34">
        <v>733837</v>
      </c>
      <c r="C22" s="16" t="s">
        <v>29</v>
      </c>
      <c r="D22" s="35"/>
      <c r="E22" s="35"/>
      <c r="F22" s="35"/>
      <c r="G22" s="35"/>
      <c r="H22" s="35"/>
      <c r="I22" s="35"/>
      <c r="J22" s="35"/>
      <c r="K22" s="35"/>
      <c r="L22" s="36">
        <f t="shared" si="0"/>
        <v>0</v>
      </c>
      <c r="M22" s="37"/>
      <c r="N22" s="35"/>
      <c r="O22" s="35"/>
      <c r="P22" s="52"/>
      <c r="Q22" s="52"/>
      <c r="R22" s="39"/>
      <c r="S22" s="39"/>
      <c r="T22" s="16"/>
      <c r="U22" s="16"/>
      <c r="V22" s="36">
        <f t="shared" si="1"/>
        <v>0</v>
      </c>
      <c r="W22" s="36"/>
      <c r="X22" s="39"/>
      <c r="Y22" s="39"/>
      <c r="Z22" s="40"/>
      <c r="AA22" s="41"/>
      <c r="AB22" s="41"/>
      <c r="AC22" s="40"/>
      <c r="AD22" s="41"/>
      <c r="AE22" s="40"/>
      <c r="AF22" s="40"/>
      <c r="AG22" s="42">
        <f t="shared" si="4"/>
        <v>0</v>
      </c>
      <c r="AH22" s="42"/>
      <c r="AI22" s="38"/>
      <c r="AJ22" s="38"/>
      <c r="AK22" s="38"/>
      <c r="AL22" s="40"/>
      <c r="AM22" s="40"/>
      <c r="AN22" s="36">
        <f t="shared" si="6"/>
        <v>0</v>
      </c>
      <c r="AO22" s="36"/>
      <c r="AP22" s="43"/>
      <c r="AQ22" s="43"/>
      <c r="AR22" s="43"/>
      <c r="AS22" s="43"/>
      <c r="AT22" s="36">
        <f t="shared" si="5"/>
        <v>0</v>
      </c>
      <c r="AU22" s="37"/>
      <c r="BE22" s="55"/>
    </row>
    <row r="23" spans="2:57" x14ac:dyDescent="0.35">
      <c r="B23" s="34">
        <v>754238</v>
      </c>
      <c r="C23" s="16" t="s">
        <v>30</v>
      </c>
      <c r="D23" s="35"/>
      <c r="E23" s="35"/>
      <c r="F23" s="35"/>
      <c r="G23" s="35"/>
      <c r="H23" s="35"/>
      <c r="I23" s="35"/>
      <c r="J23" s="35"/>
      <c r="K23" s="35"/>
      <c r="L23" s="36">
        <f t="shared" si="0"/>
        <v>0</v>
      </c>
      <c r="M23" s="37"/>
      <c r="N23" s="35"/>
      <c r="O23" s="35"/>
      <c r="P23" s="38"/>
      <c r="Q23" s="38"/>
      <c r="R23" s="16"/>
      <c r="S23" s="16"/>
      <c r="T23" s="16"/>
      <c r="U23" s="16"/>
      <c r="V23" s="36">
        <f t="shared" si="1"/>
        <v>0</v>
      </c>
      <c r="W23" s="36"/>
      <c r="X23" s="39"/>
      <c r="Y23" s="39"/>
      <c r="Z23" s="40"/>
      <c r="AA23" s="41"/>
      <c r="AB23" s="41"/>
      <c r="AC23" s="41"/>
      <c r="AD23" s="41"/>
      <c r="AE23" s="40"/>
      <c r="AF23" s="40"/>
      <c r="AG23" s="42">
        <f t="shared" si="4"/>
        <v>0</v>
      </c>
      <c r="AH23" s="42"/>
      <c r="AI23" s="38"/>
      <c r="AJ23" s="38"/>
      <c r="AK23" s="38"/>
      <c r="AL23" s="40"/>
      <c r="AM23" s="40"/>
      <c r="AN23" s="36">
        <f t="shared" si="6"/>
        <v>0</v>
      </c>
      <c r="AO23" s="36"/>
      <c r="AP23" s="43"/>
      <c r="AQ23" s="43"/>
      <c r="AR23" s="43"/>
      <c r="AS23" s="43"/>
      <c r="AT23" s="36">
        <f t="shared" si="5"/>
        <v>0</v>
      </c>
      <c r="AU23" s="37"/>
      <c r="BD23" s="16"/>
      <c r="BE23" s="35"/>
    </row>
    <row r="24" spans="2:57" x14ac:dyDescent="0.35">
      <c r="B24" s="34">
        <v>777806</v>
      </c>
      <c r="C24" s="16" t="s">
        <v>31</v>
      </c>
      <c r="D24" s="35"/>
      <c r="E24" s="35"/>
      <c r="F24" s="35"/>
      <c r="G24" s="35"/>
      <c r="H24" s="35"/>
      <c r="I24" s="35"/>
      <c r="J24" s="35"/>
      <c r="K24" s="35"/>
      <c r="L24" s="36">
        <f t="shared" si="0"/>
        <v>0</v>
      </c>
      <c r="M24" s="37"/>
      <c r="N24" s="35"/>
      <c r="O24" s="35"/>
      <c r="P24" s="38"/>
      <c r="Q24" s="38"/>
      <c r="R24" s="16"/>
      <c r="S24" s="35"/>
      <c r="T24" s="16"/>
      <c r="U24" s="16"/>
      <c r="V24" s="36">
        <f t="shared" si="1"/>
        <v>0</v>
      </c>
      <c r="W24" s="36"/>
      <c r="X24" s="39"/>
      <c r="Y24" s="39"/>
      <c r="Z24" s="40"/>
      <c r="AA24" s="45"/>
      <c r="AB24" s="41"/>
      <c r="AC24" s="41"/>
      <c r="AD24" s="41"/>
      <c r="AE24" s="41"/>
      <c r="AF24" s="19"/>
      <c r="AG24" s="42">
        <f t="shared" si="4"/>
        <v>0</v>
      </c>
      <c r="AH24" s="42"/>
      <c r="AI24" s="38"/>
      <c r="AJ24" s="38"/>
      <c r="AK24" s="38"/>
      <c r="AL24" s="40"/>
      <c r="AM24" s="40"/>
      <c r="AN24" s="36">
        <f t="shared" si="6"/>
        <v>0</v>
      </c>
      <c r="AO24" s="36"/>
      <c r="AP24" s="43"/>
      <c r="AQ24" s="43"/>
      <c r="AR24" s="43"/>
      <c r="AS24" s="43"/>
      <c r="AT24" s="36">
        <f t="shared" si="5"/>
        <v>0</v>
      </c>
      <c r="AU24" s="37"/>
      <c r="AV24" s="56"/>
      <c r="BD24" s="16"/>
      <c r="BE24" s="35"/>
    </row>
    <row r="25" spans="2:57" x14ac:dyDescent="0.35">
      <c r="B25" s="34">
        <v>751895</v>
      </c>
      <c r="C25" s="16" t="s">
        <v>32</v>
      </c>
      <c r="D25" s="35"/>
      <c r="E25" s="35"/>
      <c r="F25" s="35"/>
      <c r="G25" s="35"/>
      <c r="H25" s="35"/>
      <c r="I25" s="35"/>
      <c r="J25" s="35"/>
      <c r="K25" s="35"/>
      <c r="L25" s="36">
        <f t="shared" si="0"/>
        <v>0</v>
      </c>
      <c r="M25" s="37"/>
      <c r="N25" s="35"/>
      <c r="O25" s="35"/>
      <c r="P25" s="38"/>
      <c r="Q25" s="38"/>
      <c r="R25" s="16"/>
      <c r="S25" s="16"/>
      <c r="T25" s="16"/>
      <c r="U25" s="16"/>
      <c r="V25" s="36">
        <f t="shared" si="1"/>
        <v>0</v>
      </c>
      <c r="W25" s="36"/>
      <c r="X25" s="39"/>
      <c r="Y25" s="39"/>
      <c r="Z25" s="40"/>
      <c r="AA25" s="41"/>
      <c r="AB25" s="41"/>
      <c r="AC25" s="41"/>
      <c r="AD25" s="41"/>
      <c r="AE25" s="40"/>
      <c r="AF25" s="40"/>
      <c r="AG25" s="42">
        <f t="shared" si="4"/>
        <v>0</v>
      </c>
      <c r="AH25" s="42"/>
      <c r="AI25" s="38"/>
      <c r="AJ25" s="38"/>
      <c r="AK25" s="38"/>
      <c r="AL25" s="40"/>
      <c r="AM25" s="40"/>
      <c r="AN25" s="36">
        <f t="shared" si="6"/>
        <v>0</v>
      </c>
      <c r="AO25" s="36"/>
      <c r="AP25" s="43"/>
      <c r="AQ25" s="43"/>
      <c r="AR25" s="43"/>
      <c r="AS25" s="43"/>
      <c r="AT25" s="36">
        <f t="shared" si="5"/>
        <v>0</v>
      </c>
      <c r="AU25" s="37"/>
      <c r="BE25" s="24"/>
    </row>
    <row r="26" spans="2:57" x14ac:dyDescent="0.35">
      <c r="B26" s="34">
        <v>714276</v>
      </c>
      <c r="C26" s="16" t="s">
        <v>33</v>
      </c>
      <c r="D26" s="35"/>
      <c r="E26" s="35"/>
      <c r="F26" s="35"/>
      <c r="G26" s="35"/>
      <c r="H26" s="35"/>
      <c r="I26" s="35"/>
      <c r="J26" s="35"/>
      <c r="K26" s="35"/>
      <c r="L26" s="36">
        <f t="shared" si="0"/>
        <v>0</v>
      </c>
      <c r="M26" s="37"/>
      <c r="N26" s="35"/>
      <c r="O26" s="35"/>
      <c r="P26" s="38"/>
      <c r="Q26" s="38"/>
      <c r="R26" s="16"/>
      <c r="S26" s="16"/>
      <c r="T26" s="16"/>
      <c r="U26" s="16"/>
      <c r="V26" s="36">
        <f t="shared" si="1"/>
        <v>0</v>
      </c>
      <c r="W26" s="36"/>
      <c r="X26" s="39"/>
      <c r="Y26" s="39"/>
      <c r="Z26" s="40"/>
      <c r="AA26" s="41"/>
      <c r="AB26" s="41"/>
      <c r="AC26" s="41"/>
      <c r="AD26" s="41"/>
      <c r="AE26" s="40"/>
      <c r="AF26" s="40"/>
      <c r="AG26" s="42">
        <f t="shared" si="4"/>
        <v>0</v>
      </c>
      <c r="AH26" s="42"/>
      <c r="AI26" s="38"/>
      <c r="AJ26" s="38"/>
      <c r="AK26" s="38"/>
      <c r="AL26" s="40"/>
      <c r="AM26" s="40"/>
      <c r="AN26" s="36">
        <f t="shared" si="6"/>
        <v>0</v>
      </c>
      <c r="AO26" s="36"/>
      <c r="AP26" s="43"/>
      <c r="AQ26" s="43"/>
      <c r="AR26" s="43"/>
      <c r="AS26" s="43"/>
      <c r="AT26" s="36">
        <f t="shared" si="5"/>
        <v>0</v>
      </c>
      <c r="AU26" s="37"/>
    </row>
    <row r="27" spans="2:57" x14ac:dyDescent="0.35">
      <c r="B27" s="34">
        <v>758811</v>
      </c>
      <c r="C27" s="16" t="s">
        <v>34</v>
      </c>
      <c r="D27" s="35"/>
      <c r="E27" s="35"/>
      <c r="F27" s="35"/>
      <c r="G27" s="35"/>
      <c r="H27" s="35"/>
      <c r="I27" s="35"/>
      <c r="J27" s="35"/>
      <c r="K27" s="35"/>
      <c r="L27" s="36">
        <f t="shared" si="0"/>
        <v>0</v>
      </c>
      <c r="M27" s="37"/>
      <c r="N27" s="35"/>
      <c r="O27" s="35"/>
      <c r="P27" s="38"/>
      <c r="Q27" s="38"/>
      <c r="R27" s="16"/>
      <c r="S27" s="16"/>
      <c r="T27" s="16"/>
      <c r="U27" s="16"/>
      <c r="V27" s="36">
        <f t="shared" si="1"/>
        <v>0</v>
      </c>
      <c r="W27" s="36"/>
      <c r="X27" s="39"/>
      <c r="Y27" s="39"/>
      <c r="Z27" s="40"/>
      <c r="AA27" s="41"/>
      <c r="AB27" s="41"/>
      <c r="AC27" s="41"/>
      <c r="AD27" s="41"/>
      <c r="AE27" s="40"/>
      <c r="AF27" s="40"/>
      <c r="AG27" s="42">
        <f t="shared" si="4"/>
        <v>0</v>
      </c>
      <c r="AH27" s="42"/>
      <c r="AI27" s="38"/>
      <c r="AJ27" s="38"/>
      <c r="AK27" s="38"/>
      <c r="AL27" s="40"/>
      <c r="AM27" s="40"/>
      <c r="AN27" s="36">
        <f t="shared" si="6"/>
        <v>0</v>
      </c>
      <c r="AO27" s="36"/>
      <c r="AP27" s="43"/>
      <c r="AQ27" s="43"/>
      <c r="AR27" s="43"/>
      <c r="AS27" s="43"/>
      <c r="AT27" s="36">
        <f t="shared" si="5"/>
        <v>0</v>
      </c>
      <c r="AU27" s="37"/>
      <c r="AV27" s="24"/>
    </row>
    <row r="28" spans="2:57" x14ac:dyDescent="0.35">
      <c r="B28" s="34">
        <v>773401</v>
      </c>
      <c r="C28" s="16" t="s">
        <v>35</v>
      </c>
      <c r="D28" s="35"/>
      <c r="E28" s="35"/>
      <c r="F28" s="35"/>
      <c r="G28" s="35"/>
      <c r="H28" s="35"/>
      <c r="I28" s="35"/>
      <c r="J28" s="35"/>
      <c r="K28" s="35"/>
      <c r="L28" s="36">
        <f t="shared" si="0"/>
        <v>0</v>
      </c>
      <c r="M28" s="37"/>
      <c r="N28" s="35"/>
      <c r="O28" s="35"/>
      <c r="P28" s="38"/>
      <c r="Q28" s="38"/>
      <c r="R28" s="16"/>
      <c r="S28" s="16"/>
      <c r="T28" s="16"/>
      <c r="U28" s="16"/>
      <c r="V28" s="36">
        <f t="shared" si="1"/>
        <v>0</v>
      </c>
      <c r="W28" s="36"/>
      <c r="X28" s="39"/>
      <c r="Y28" s="39"/>
      <c r="Z28" s="40"/>
      <c r="AA28" s="41"/>
      <c r="AB28" s="41"/>
      <c r="AC28" s="41"/>
      <c r="AD28" s="41"/>
      <c r="AE28" s="40"/>
      <c r="AF28" s="40"/>
      <c r="AG28" s="42">
        <f t="shared" si="4"/>
        <v>0</v>
      </c>
      <c r="AH28" s="42"/>
      <c r="AI28" s="38"/>
      <c r="AJ28" s="38"/>
      <c r="AK28" s="38"/>
      <c r="AL28" s="40"/>
      <c r="AM28" s="40"/>
      <c r="AN28" s="36">
        <f t="shared" si="6"/>
        <v>0</v>
      </c>
      <c r="AO28" s="36"/>
      <c r="AP28" s="43"/>
      <c r="AQ28" s="43"/>
      <c r="AR28" s="43"/>
      <c r="AS28" s="43"/>
      <c r="AT28" s="36">
        <f t="shared" si="5"/>
        <v>0</v>
      </c>
      <c r="AU28" s="37"/>
    </row>
    <row r="29" spans="2:57" x14ac:dyDescent="0.35">
      <c r="B29" s="34">
        <v>773402</v>
      </c>
      <c r="C29" s="16" t="s">
        <v>36</v>
      </c>
      <c r="D29" s="35"/>
      <c r="E29" s="35"/>
      <c r="F29" s="35"/>
      <c r="G29" s="35"/>
      <c r="H29" s="35"/>
      <c r="I29" s="35"/>
      <c r="J29" s="35"/>
      <c r="K29" s="35"/>
      <c r="L29" s="36">
        <f t="shared" si="0"/>
        <v>0</v>
      </c>
      <c r="M29" s="37"/>
      <c r="N29" s="35"/>
      <c r="O29" s="35"/>
      <c r="P29" s="38"/>
      <c r="Q29" s="38"/>
      <c r="R29" s="16"/>
      <c r="S29" s="16"/>
      <c r="T29" s="16"/>
      <c r="U29" s="16"/>
      <c r="V29" s="36">
        <f t="shared" si="1"/>
        <v>0</v>
      </c>
      <c r="W29" s="36"/>
      <c r="X29" s="39"/>
      <c r="Y29" s="39"/>
      <c r="Z29" s="40"/>
      <c r="AA29" s="41"/>
      <c r="AB29" s="41"/>
      <c r="AC29" s="41"/>
      <c r="AD29" s="41"/>
      <c r="AE29" s="40"/>
      <c r="AF29" s="40"/>
      <c r="AG29" s="42">
        <f t="shared" si="4"/>
        <v>0</v>
      </c>
      <c r="AH29" s="42"/>
      <c r="AI29" s="38"/>
      <c r="AJ29" s="38"/>
      <c r="AK29" s="38"/>
      <c r="AL29" s="40"/>
      <c r="AM29" s="40"/>
      <c r="AN29" s="36">
        <f t="shared" si="6"/>
        <v>0</v>
      </c>
      <c r="AO29" s="36"/>
      <c r="AP29" s="43"/>
      <c r="AQ29" s="43"/>
      <c r="AR29" s="43"/>
      <c r="AS29" s="43"/>
      <c r="AT29" s="36">
        <f t="shared" si="5"/>
        <v>0</v>
      </c>
      <c r="AU29" s="37"/>
    </row>
    <row r="30" spans="2:57" x14ac:dyDescent="0.35">
      <c r="B30" s="34">
        <v>660242</v>
      </c>
      <c r="C30" s="16" t="s">
        <v>37</v>
      </c>
      <c r="D30" s="35"/>
      <c r="E30" s="35"/>
      <c r="F30" s="35"/>
      <c r="G30" s="35"/>
      <c r="H30" s="35"/>
      <c r="I30" s="35"/>
      <c r="J30" s="35"/>
      <c r="K30" s="35"/>
      <c r="L30" s="36">
        <f t="shared" si="0"/>
        <v>0</v>
      </c>
      <c r="M30" s="37"/>
      <c r="N30" s="35"/>
      <c r="O30" s="35"/>
      <c r="P30" s="38"/>
      <c r="Q30" s="38"/>
      <c r="R30" s="16"/>
      <c r="S30" s="16"/>
      <c r="T30" s="16"/>
      <c r="U30" s="16"/>
      <c r="V30" s="36">
        <f t="shared" si="1"/>
        <v>0</v>
      </c>
      <c r="W30" s="36"/>
      <c r="X30" s="39"/>
      <c r="Y30" s="39"/>
      <c r="Z30" s="40"/>
      <c r="AA30" s="41"/>
      <c r="AB30" s="57"/>
      <c r="AC30" s="41"/>
      <c r="AD30" s="41"/>
      <c r="AE30" s="40"/>
      <c r="AF30" s="40"/>
      <c r="AG30" s="42">
        <f t="shared" si="4"/>
        <v>0</v>
      </c>
      <c r="AH30" s="42"/>
      <c r="AI30" s="38"/>
      <c r="AJ30" s="38"/>
      <c r="AK30" s="38"/>
      <c r="AL30" s="40"/>
      <c r="AM30" s="40"/>
      <c r="AN30" s="36">
        <f t="shared" si="6"/>
        <v>0</v>
      </c>
      <c r="AO30" s="36"/>
      <c r="AP30" s="43"/>
      <c r="AQ30" s="43"/>
      <c r="AR30" s="43"/>
      <c r="AS30" s="43"/>
      <c r="AT30" s="36">
        <f t="shared" si="5"/>
        <v>0</v>
      </c>
      <c r="AU30" s="37"/>
    </row>
    <row r="31" spans="2:57" x14ac:dyDescent="0.35">
      <c r="B31" s="34">
        <v>780299</v>
      </c>
      <c r="C31" s="16" t="s">
        <v>38</v>
      </c>
      <c r="D31" s="35"/>
      <c r="E31" s="35"/>
      <c r="F31" s="35"/>
      <c r="G31" s="35"/>
      <c r="H31" s="35"/>
      <c r="I31" s="35"/>
      <c r="J31" s="35"/>
      <c r="K31" s="35"/>
      <c r="L31" s="36">
        <f t="shared" si="0"/>
        <v>0</v>
      </c>
      <c r="M31" s="37"/>
      <c r="N31" s="35"/>
      <c r="O31" s="35"/>
      <c r="P31" s="38"/>
      <c r="Q31" s="38"/>
      <c r="R31" s="16"/>
      <c r="S31" s="16"/>
      <c r="T31" s="16"/>
      <c r="U31" s="16"/>
      <c r="V31" s="36">
        <f t="shared" si="1"/>
        <v>0</v>
      </c>
      <c r="W31" s="36"/>
      <c r="X31" s="39"/>
      <c r="Y31" s="39"/>
      <c r="Z31" s="40"/>
      <c r="AA31" s="41"/>
      <c r="AB31" s="41"/>
      <c r="AC31" s="41"/>
      <c r="AD31" s="41"/>
      <c r="AE31" s="40"/>
      <c r="AF31" s="40"/>
      <c r="AG31" s="42">
        <f t="shared" si="4"/>
        <v>0</v>
      </c>
      <c r="AH31" s="42">
        <f>AG31*6</f>
        <v>0</v>
      </c>
      <c r="AI31" s="38"/>
      <c r="AJ31" s="38"/>
      <c r="AK31" s="38"/>
      <c r="AL31" s="40"/>
      <c r="AM31" s="40"/>
      <c r="AN31" s="36">
        <f t="shared" si="6"/>
        <v>0</v>
      </c>
      <c r="AO31" s="36"/>
      <c r="AP31" s="43"/>
      <c r="AQ31" s="43"/>
      <c r="AR31" s="43"/>
      <c r="AS31" s="43"/>
      <c r="AT31" s="36">
        <f t="shared" si="5"/>
        <v>0</v>
      </c>
      <c r="AU31" s="37"/>
    </row>
    <row r="32" spans="2:57" x14ac:dyDescent="0.35">
      <c r="B32" s="34">
        <v>701308</v>
      </c>
      <c r="C32" s="16" t="s">
        <v>40</v>
      </c>
      <c r="D32" s="35"/>
      <c r="E32" s="35"/>
      <c r="F32" s="35"/>
      <c r="G32" s="35"/>
      <c r="H32" s="35"/>
      <c r="I32" s="35"/>
      <c r="J32" s="35"/>
      <c r="K32" s="35"/>
      <c r="L32" s="36">
        <f t="shared" si="0"/>
        <v>0</v>
      </c>
      <c r="M32" s="37"/>
      <c r="N32" s="35"/>
      <c r="O32" s="35"/>
      <c r="P32" s="38"/>
      <c r="Q32" s="38"/>
      <c r="R32" s="16"/>
      <c r="S32" s="16"/>
      <c r="T32" s="16"/>
      <c r="U32" s="16"/>
      <c r="V32" s="36">
        <f t="shared" si="1"/>
        <v>0</v>
      </c>
      <c r="W32" s="36"/>
      <c r="X32" s="39"/>
      <c r="Y32" s="39"/>
      <c r="Z32" s="40"/>
      <c r="AA32" s="41"/>
      <c r="AB32" s="41"/>
      <c r="AC32" s="41"/>
      <c r="AD32" s="41"/>
      <c r="AE32" s="40"/>
      <c r="AF32" s="40"/>
      <c r="AG32" s="42">
        <f t="shared" si="4"/>
        <v>0</v>
      </c>
      <c r="AH32" s="42"/>
      <c r="AI32" s="38"/>
      <c r="AJ32" s="38"/>
      <c r="AK32" s="38"/>
      <c r="AL32" s="40"/>
      <c r="AM32" s="40"/>
      <c r="AN32" s="36">
        <f t="shared" si="6"/>
        <v>0</v>
      </c>
      <c r="AO32" s="36"/>
      <c r="AP32" s="43"/>
      <c r="AQ32" s="43"/>
      <c r="AR32" s="43"/>
      <c r="AS32" s="43"/>
      <c r="AT32" s="36">
        <f t="shared" si="5"/>
        <v>0</v>
      </c>
      <c r="AU32" s="37"/>
    </row>
    <row r="33" spans="2:48" x14ac:dyDescent="0.35">
      <c r="B33" s="34">
        <v>712907</v>
      </c>
      <c r="C33" s="16" t="s">
        <v>41</v>
      </c>
      <c r="D33" s="35"/>
      <c r="E33" s="35"/>
      <c r="F33" s="35"/>
      <c r="G33" s="35"/>
      <c r="H33" s="35"/>
      <c r="I33" s="35"/>
      <c r="J33" s="35"/>
      <c r="K33" s="35"/>
      <c r="L33" s="36">
        <f t="shared" si="0"/>
        <v>0</v>
      </c>
      <c r="M33" s="37"/>
      <c r="N33" s="35"/>
      <c r="O33" s="35"/>
      <c r="P33" s="38"/>
      <c r="Q33" s="38"/>
      <c r="R33" s="16"/>
      <c r="S33" s="16"/>
      <c r="T33" s="16"/>
      <c r="U33" s="16"/>
      <c r="V33" s="36">
        <f t="shared" si="1"/>
        <v>0</v>
      </c>
      <c r="W33" s="36"/>
      <c r="X33" s="39"/>
      <c r="Y33" s="39"/>
      <c r="Z33" s="40"/>
      <c r="AA33" s="41"/>
      <c r="AB33" s="41"/>
      <c r="AC33" s="41"/>
      <c r="AD33" s="41"/>
      <c r="AE33" s="40"/>
      <c r="AF33" s="40"/>
      <c r="AG33" s="42">
        <f t="shared" si="4"/>
        <v>0</v>
      </c>
      <c r="AH33" s="42"/>
      <c r="AI33" s="38"/>
      <c r="AJ33" s="38"/>
      <c r="AK33" s="38"/>
      <c r="AL33" s="40"/>
      <c r="AM33" s="40"/>
      <c r="AN33" s="36">
        <f t="shared" si="6"/>
        <v>0</v>
      </c>
      <c r="AO33" s="36"/>
      <c r="AP33" s="43"/>
      <c r="AQ33" s="43"/>
      <c r="AR33" s="43"/>
      <c r="AS33" s="43"/>
      <c r="AT33" s="36">
        <f t="shared" si="5"/>
        <v>0</v>
      </c>
      <c r="AU33" s="37"/>
    </row>
    <row r="34" spans="2:48" x14ac:dyDescent="0.35">
      <c r="B34" s="34"/>
      <c r="C34" s="58" t="s">
        <v>63</v>
      </c>
      <c r="D34" s="35"/>
      <c r="E34" s="35"/>
      <c r="F34" s="35"/>
      <c r="G34" s="35"/>
      <c r="H34" s="35"/>
      <c r="I34" s="35"/>
      <c r="J34" s="35"/>
      <c r="K34" s="35"/>
      <c r="L34" s="36">
        <f t="shared" si="0"/>
        <v>0</v>
      </c>
      <c r="M34" s="37"/>
      <c r="N34" s="35"/>
      <c r="O34" s="35"/>
      <c r="P34" s="38"/>
      <c r="Q34" s="38"/>
      <c r="R34" s="16"/>
      <c r="S34" s="16"/>
      <c r="T34" s="16"/>
      <c r="U34" s="16"/>
      <c r="V34" s="36">
        <f t="shared" si="1"/>
        <v>0</v>
      </c>
      <c r="W34" s="36"/>
      <c r="X34" s="39"/>
      <c r="Y34" s="39"/>
      <c r="Z34" s="40"/>
      <c r="AA34" s="41"/>
      <c r="AB34" s="46"/>
      <c r="AC34" s="41"/>
      <c r="AD34" s="41"/>
      <c r="AE34" s="40"/>
      <c r="AF34" s="40"/>
      <c r="AG34" s="42">
        <f t="shared" si="4"/>
        <v>0</v>
      </c>
      <c r="AH34" s="42"/>
      <c r="AI34" s="38"/>
      <c r="AJ34" s="38"/>
      <c r="AK34" s="38"/>
      <c r="AL34" s="40"/>
      <c r="AM34" s="40"/>
      <c r="AN34" s="36">
        <f t="shared" si="6"/>
        <v>0</v>
      </c>
      <c r="AO34" s="36"/>
      <c r="AP34" s="43"/>
      <c r="AQ34" s="43"/>
      <c r="AR34" s="43"/>
      <c r="AS34" s="43"/>
      <c r="AT34" s="36">
        <f t="shared" si="5"/>
        <v>0</v>
      </c>
      <c r="AU34" s="37"/>
    </row>
    <row r="35" spans="2:48" x14ac:dyDescent="0.35">
      <c r="B35" s="34"/>
      <c r="C35" s="58" t="s">
        <v>68</v>
      </c>
      <c r="D35" s="35"/>
      <c r="E35" s="35"/>
      <c r="F35" s="35"/>
      <c r="G35" s="35"/>
      <c r="H35" s="35"/>
      <c r="I35" s="35"/>
      <c r="J35" s="35"/>
      <c r="K35" s="35"/>
      <c r="L35" s="36">
        <f t="shared" si="0"/>
        <v>0</v>
      </c>
      <c r="M35" s="37"/>
      <c r="N35" s="35"/>
      <c r="O35" s="35"/>
      <c r="P35" s="38"/>
      <c r="Q35" s="38"/>
      <c r="R35" s="16"/>
      <c r="S35" s="16"/>
      <c r="T35" s="16"/>
      <c r="U35" s="16"/>
      <c r="V35" s="36">
        <f t="shared" si="1"/>
        <v>0</v>
      </c>
      <c r="W35" s="36"/>
      <c r="X35" s="39"/>
      <c r="Y35" s="39"/>
      <c r="Z35" s="40"/>
      <c r="AA35" s="41"/>
      <c r="AB35" s="41"/>
      <c r="AC35" s="41"/>
      <c r="AD35" s="41"/>
      <c r="AE35" s="40"/>
      <c r="AF35" s="40"/>
      <c r="AG35" s="42">
        <f t="shared" si="4"/>
        <v>0</v>
      </c>
      <c r="AH35" s="42"/>
      <c r="AI35" s="38"/>
      <c r="AJ35" s="38"/>
      <c r="AK35" s="38"/>
      <c r="AL35" s="40"/>
      <c r="AM35" s="40"/>
      <c r="AN35" s="36">
        <f t="shared" si="6"/>
        <v>0</v>
      </c>
      <c r="AO35" s="36"/>
      <c r="AP35" s="43"/>
      <c r="AQ35" s="43"/>
      <c r="AR35" s="43"/>
      <c r="AS35" s="43"/>
      <c r="AT35" s="36">
        <f t="shared" si="5"/>
        <v>0</v>
      </c>
      <c r="AU35" s="37"/>
    </row>
    <row r="36" spans="2:48" x14ac:dyDescent="0.35">
      <c r="B36" s="34"/>
      <c r="C36" s="59" t="s">
        <v>45</v>
      </c>
      <c r="D36" s="35"/>
      <c r="E36" s="35"/>
      <c r="F36" s="35"/>
      <c r="G36" s="35"/>
      <c r="H36" s="35"/>
      <c r="I36" s="35"/>
      <c r="J36" s="35"/>
      <c r="K36" s="35"/>
      <c r="L36" s="36">
        <f t="shared" si="0"/>
        <v>0</v>
      </c>
      <c r="M36" s="37"/>
      <c r="N36" s="35"/>
      <c r="O36" s="35"/>
      <c r="P36" s="38"/>
      <c r="Q36" s="38"/>
      <c r="R36" s="16"/>
      <c r="S36" s="16"/>
      <c r="T36" s="16"/>
      <c r="U36" s="16"/>
      <c r="V36" s="36">
        <f t="shared" si="1"/>
        <v>0</v>
      </c>
      <c r="W36" s="36"/>
      <c r="X36" s="39"/>
      <c r="Y36" s="39"/>
      <c r="Z36" s="40"/>
      <c r="AA36" s="41"/>
      <c r="AB36" s="41"/>
      <c r="AC36" s="41"/>
      <c r="AD36" s="41"/>
      <c r="AE36" s="40"/>
      <c r="AF36" s="40"/>
      <c r="AG36" s="42">
        <f t="shared" si="4"/>
        <v>0</v>
      </c>
      <c r="AH36" s="42">
        <f>AG36*6</f>
        <v>0</v>
      </c>
      <c r="AI36" s="38"/>
      <c r="AJ36" s="38"/>
      <c r="AK36" s="38"/>
      <c r="AL36" s="40"/>
      <c r="AM36" s="40"/>
      <c r="AN36" s="36">
        <f t="shared" si="6"/>
        <v>0</v>
      </c>
      <c r="AO36" s="36"/>
      <c r="AP36" s="43"/>
      <c r="AQ36" s="43"/>
      <c r="AR36" s="43"/>
      <c r="AS36" s="43"/>
      <c r="AT36" s="36">
        <f t="shared" si="5"/>
        <v>0</v>
      </c>
      <c r="AU36" s="37"/>
    </row>
    <row r="37" spans="2:48" x14ac:dyDescent="0.35">
      <c r="B37" s="34"/>
      <c r="C37" s="19" t="s">
        <v>67</v>
      </c>
      <c r="D37" s="35"/>
      <c r="E37" s="35"/>
      <c r="F37" s="35"/>
      <c r="G37" s="35"/>
      <c r="H37" s="35"/>
      <c r="I37" s="35"/>
      <c r="J37" s="35"/>
      <c r="K37" s="35"/>
      <c r="L37" s="36">
        <f t="shared" si="0"/>
        <v>0</v>
      </c>
      <c r="M37" s="37"/>
      <c r="N37" s="35"/>
      <c r="O37" s="35"/>
      <c r="P37" s="38"/>
      <c r="Q37" s="38"/>
      <c r="R37" s="16"/>
      <c r="S37" s="16"/>
      <c r="T37" s="16"/>
      <c r="U37" s="16"/>
      <c r="V37" s="36">
        <f t="shared" si="1"/>
        <v>0</v>
      </c>
      <c r="W37" s="36"/>
      <c r="X37" s="39"/>
      <c r="Y37" s="39"/>
      <c r="Z37" s="40"/>
      <c r="AA37" s="41"/>
      <c r="AB37" s="41"/>
      <c r="AC37" s="40"/>
      <c r="AD37" s="41"/>
      <c r="AE37" s="40"/>
      <c r="AF37" s="40"/>
      <c r="AG37" s="42">
        <f t="shared" si="4"/>
        <v>0</v>
      </c>
      <c r="AH37" s="42"/>
      <c r="AI37" s="38"/>
      <c r="AJ37" s="38"/>
      <c r="AK37" s="38"/>
      <c r="AL37" s="40"/>
      <c r="AM37" s="40"/>
      <c r="AN37" s="36">
        <f t="shared" si="6"/>
        <v>0</v>
      </c>
      <c r="AO37" s="36"/>
      <c r="AP37" s="43"/>
      <c r="AQ37" s="43"/>
      <c r="AR37" s="43"/>
      <c r="AS37" s="43"/>
      <c r="AT37" s="36">
        <f t="shared" si="5"/>
        <v>0</v>
      </c>
      <c r="AU37" s="37"/>
    </row>
    <row r="38" spans="2:48" x14ac:dyDescent="0.35">
      <c r="B38" s="34"/>
      <c r="C38" s="58" t="s">
        <v>69</v>
      </c>
      <c r="D38" s="35"/>
      <c r="E38" s="35"/>
      <c r="F38" s="35"/>
      <c r="G38" s="35"/>
      <c r="H38" s="35"/>
      <c r="I38" s="35"/>
      <c r="J38" s="35"/>
      <c r="K38" s="35"/>
      <c r="L38" s="36">
        <f t="shared" si="0"/>
        <v>0</v>
      </c>
      <c r="M38" s="37"/>
      <c r="N38" s="35"/>
      <c r="O38" s="35"/>
      <c r="P38" s="38"/>
      <c r="Q38" s="38"/>
      <c r="R38" s="16"/>
      <c r="S38" s="16"/>
      <c r="T38" s="16"/>
      <c r="U38" s="16"/>
      <c r="V38" s="36">
        <f t="shared" si="1"/>
        <v>0</v>
      </c>
      <c r="W38" s="36"/>
      <c r="X38" s="39"/>
      <c r="Y38" s="39"/>
      <c r="Z38" s="40"/>
      <c r="AA38" s="41"/>
      <c r="AB38" s="41"/>
      <c r="AC38" s="40"/>
      <c r="AD38" s="41"/>
      <c r="AE38" s="40"/>
      <c r="AF38" s="40"/>
      <c r="AG38" s="42">
        <f t="shared" si="4"/>
        <v>0</v>
      </c>
      <c r="AH38" s="42"/>
      <c r="AI38" s="38"/>
      <c r="AJ38" s="38"/>
      <c r="AK38" s="38"/>
      <c r="AL38" s="40"/>
      <c r="AM38" s="40"/>
      <c r="AN38" s="36">
        <f t="shared" si="6"/>
        <v>0</v>
      </c>
      <c r="AO38" s="36"/>
      <c r="AP38" s="43"/>
      <c r="AQ38" s="43"/>
      <c r="AR38" s="43"/>
      <c r="AS38" s="43"/>
      <c r="AT38" s="36">
        <f t="shared" si="5"/>
        <v>0</v>
      </c>
      <c r="AU38" s="37"/>
    </row>
    <row r="39" spans="2:48" x14ac:dyDescent="0.35">
      <c r="B39" s="34"/>
      <c r="C39" s="58" t="s">
        <v>71</v>
      </c>
      <c r="D39" s="35"/>
      <c r="E39" s="35"/>
      <c r="F39" s="35"/>
      <c r="G39" s="35"/>
      <c r="H39" s="35"/>
      <c r="I39" s="35"/>
      <c r="J39" s="35"/>
      <c r="K39" s="35"/>
      <c r="L39" s="36">
        <f t="shared" si="0"/>
        <v>0</v>
      </c>
      <c r="M39" s="37"/>
      <c r="N39" s="35"/>
      <c r="O39" s="35"/>
      <c r="P39" s="38"/>
      <c r="Q39" s="38"/>
      <c r="R39" s="16"/>
      <c r="S39" s="16"/>
      <c r="T39" s="16"/>
      <c r="U39" s="16"/>
      <c r="V39" s="36">
        <f t="shared" si="1"/>
        <v>0</v>
      </c>
      <c r="W39" s="36"/>
      <c r="X39" s="39"/>
      <c r="Y39" s="39"/>
      <c r="Z39" s="40"/>
      <c r="AA39" s="41"/>
      <c r="AB39" s="41"/>
      <c r="AC39" s="40"/>
      <c r="AD39" s="41"/>
      <c r="AE39" s="40"/>
      <c r="AF39" s="40"/>
      <c r="AG39" s="42">
        <f t="shared" si="4"/>
        <v>0</v>
      </c>
      <c r="AH39" s="42">
        <f>AG39*12</f>
        <v>0</v>
      </c>
      <c r="AI39" s="38"/>
      <c r="AJ39" s="38"/>
      <c r="AK39" s="38"/>
      <c r="AL39" s="40"/>
      <c r="AM39" s="40"/>
      <c r="AN39" s="36">
        <f t="shared" si="6"/>
        <v>0</v>
      </c>
      <c r="AO39" s="36"/>
      <c r="AP39" s="43"/>
      <c r="AQ39" s="43"/>
      <c r="AR39" s="43"/>
      <c r="AS39" s="43"/>
      <c r="AT39" s="36">
        <f t="shared" si="5"/>
        <v>0</v>
      </c>
      <c r="AU39" s="37"/>
    </row>
    <row r="40" spans="2:48" x14ac:dyDescent="0.35">
      <c r="B40" s="34"/>
      <c r="C40" s="60" t="s">
        <v>64</v>
      </c>
      <c r="D40" s="35"/>
      <c r="E40" s="35"/>
      <c r="F40" s="35"/>
      <c r="G40" s="35"/>
      <c r="H40" s="35"/>
      <c r="I40" s="35"/>
      <c r="J40" s="35"/>
      <c r="K40" s="35"/>
      <c r="L40" s="36">
        <f t="shared" si="0"/>
        <v>0</v>
      </c>
      <c r="M40" s="61" t="s">
        <v>105</v>
      </c>
      <c r="N40" s="35"/>
      <c r="O40" s="35"/>
      <c r="P40" s="38"/>
      <c r="Q40" s="38"/>
      <c r="R40" s="16"/>
      <c r="S40" s="16"/>
      <c r="T40" s="16"/>
      <c r="U40" s="16"/>
      <c r="V40" s="36">
        <f>N40-(O40+S40)-T40+U40-R40+Q40-P40</f>
        <v>0</v>
      </c>
      <c r="W40" s="36"/>
      <c r="X40" s="39"/>
      <c r="Y40" s="39"/>
      <c r="Z40" s="40"/>
      <c r="AA40" s="41"/>
      <c r="AB40" s="41"/>
      <c r="AC40" s="40"/>
      <c r="AD40" s="41"/>
      <c r="AE40" s="40"/>
      <c r="AF40" s="40"/>
      <c r="AG40" s="42">
        <f t="shared" si="4"/>
        <v>0</v>
      </c>
      <c r="AH40" s="42"/>
      <c r="AI40" s="38"/>
      <c r="AJ40" s="38"/>
      <c r="AK40" s="38"/>
      <c r="AL40" s="40"/>
      <c r="AM40" s="40"/>
      <c r="AN40" s="36">
        <f t="shared" si="6"/>
        <v>0</v>
      </c>
      <c r="AO40" s="36"/>
      <c r="AP40" s="43"/>
      <c r="AQ40" s="43"/>
      <c r="AR40" s="43"/>
      <c r="AS40" s="43"/>
      <c r="AT40" s="36">
        <f t="shared" si="5"/>
        <v>0</v>
      </c>
      <c r="AU40" s="37"/>
    </row>
    <row r="41" spans="2:48" x14ac:dyDescent="0.35">
      <c r="B41" s="34"/>
      <c r="C41" s="60" t="s">
        <v>72</v>
      </c>
      <c r="D41" s="35"/>
      <c r="E41" s="35"/>
      <c r="F41" s="35"/>
      <c r="G41" s="35"/>
      <c r="H41" s="35"/>
      <c r="I41" s="35"/>
      <c r="J41" s="35"/>
      <c r="K41" s="35"/>
      <c r="L41" s="36">
        <f t="shared" si="0"/>
        <v>0</v>
      </c>
      <c r="M41" s="61"/>
      <c r="N41" s="35"/>
      <c r="O41" s="35"/>
      <c r="P41" s="38"/>
      <c r="Q41" s="38"/>
      <c r="R41" s="16"/>
      <c r="S41" s="16"/>
      <c r="T41" s="16"/>
      <c r="U41" s="16"/>
      <c r="V41" s="36">
        <f t="shared" si="1"/>
        <v>0</v>
      </c>
      <c r="W41" s="36"/>
      <c r="X41" s="39"/>
      <c r="Y41" s="39"/>
      <c r="Z41" s="40"/>
      <c r="AA41" s="41"/>
      <c r="AB41" s="41"/>
      <c r="AC41" s="40"/>
      <c r="AD41" s="41"/>
      <c r="AE41" s="40"/>
      <c r="AF41" s="40"/>
      <c r="AG41" s="42">
        <f t="shared" si="4"/>
        <v>0</v>
      </c>
      <c r="AH41" s="42"/>
      <c r="AI41" s="38"/>
      <c r="AJ41" s="38"/>
      <c r="AK41" s="38"/>
      <c r="AL41" s="40"/>
      <c r="AM41" s="40"/>
      <c r="AN41" s="36">
        <f t="shared" si="6"/>
        <v>0</v>
      </c>
      <c r="AO41" s="36"/>
      <c r="AP41" s="43"/>
      <c r="AQ41" s="43"/>
      <c r="AR41" s="43"/>
      <c r="AS41" s="43"/>
      <c r="AT41" s="36">
        <f t="shared" si="5"/>
        <v>0</v>
      </c>
      <c r="AU41" s="37"/>
    </row>
    <row r="42" spans="2:48" x14ac:dyDescent="0.35">
      <c r="B42" s="34"/>
      <c r="C42" s="60" t="s">
        <v>70</v>
      </c>
      <c r="D42" s="35"/>
      <c r="E42" s="35"/>
      <c r="F42" s="35"/>
      <c r="G42" s="35"/>
      <c r="H42" s="35"/>
      <c r="I42" s="35"/>
      <c r="J42" s="35"/>
      <c r="K42" s="35"/>
      <c r="L42" s="36">
        <f t="shared" si="0"/>
        <v>0</v>
      </c>
      <c r="M42" s="61"/>
      <c r="N42" s="35"/>
      <c r="O42" s="35"/>
      <c r="P42" s="38"/>
      <c r="Q42" s="38"/>
      <c r="R42" s="16"/>
      <c r="S42" s="16"/>
      <c r="T42" s="16"/>
      <c r="U42" s="16"/>
      <c r="V42" s="36">
        <f t="shared" si="1"/>
        <v>0</v>
      </c>
      <c r="W42" s="36"/>
      <c r="X42" s="39"/>
      <c r="Y42" s="39"/>
      <c r="Z42" s="40"/>
      <c r="AA42" s="41"/>
      <c r="AB42" s="41"/>
      <c r="AC42" s="40"/>
      <c r="AD42" s="41"/>
      <c r="AE42" s="40"/>
      <c r="AF42" s="40"/>
      <c r="AG42" s="42">
        <f t="shared" si="4"/>
        <v>0</v>
      </c>
      <c r="AH42" s="42">
        <f>AG42*12</f>
        <v>0</v>
      </c>
      <c r="AI42" s="38"/>
      <c r="AJ42" s="38"/>
      <c r="AK42" s="38"/>
      <c r="AL42" s="40"/>
      <c r="AM42" s="40"/>
      <c r="AN42" s="36">
        <f t="shared" si="6"/>
        <v>0</v>
      </c>
      <c r="AO42" s="36"/>
      <c r="AP42" s="43"/>
      <c r="AQ42" s="43"/>
      <c r="AR42" s="43"/>
      <c r="AS42" s="43"/>
      <c r="AT42" s="36">
        <f t="shared" si="5"/>
        <v>0</v>
      </c>
      <c r="AU42" s="37"/>
    </row>
    <row r="43" spans="2:48" x14ac:dyDescent="0.35">
      <c r="B43" s="82" t="s">
        <v>61</v>
      </c>
      <c r="C43" s="82"/>
      <c r="D43" s="62">
        <f>SUM(D7:D42)</f>
        <v>0</v>
      </c>
      <c r="E43" s="62">
        <f>SUM(E7:E42)</f>
        <v>0</v>
      </c>
      <c r="F43" s="62">
        <f t="shared" ref="F43:AU43" si="7">SUM(F7:F42)</f>
        <v>0</v>
      </c>
      <c r="G43" s="62">
        <f t="shared" si="7"/>
        <v>0</v>
      </c>
      <c r="H43" s="62">
        <f t="shared" si="7"/>
        <v>0</v>
      </c>
      <c r="I43" s="62">
        <f t="shared" si="7"/>
        <v>0</v>
      </c>
      <c r="J43" s="62">
        <f t="shared" si="7"/>
        <v>0</v>
      </c>
      <c r="K43" s="62">
        <f t="shared" si="7"/>
        <v>0</v>
      </c>
      <c r="L43" s="62">
        <f t="shared" si="7"/>
        <v>0</v>
      </c>
      <c r="M43" s="62">
        <f t="shared" si="7"/>
        <v>0</v>
      </c>
      <c r="N43" s="62">
        <f t="shared" si="7"/>
        <v>0</v>
      </c>
      <c r="O43" s="62">
        <f>SUM(O7:O42)</f>
        <v>0</v>
      </c>
      <c r="P43" s="62">
        <f>SUM(P7:P42)</f>
        <v>0</v>
      </c>
      <c r="Q43" s="62">
        <f t="shared" si="7"/>
        <v>0</v>
      </c>
      <c r="R43" s="62">
        <f t="shared" si="7"/>
        <v>0</v>
      </c>
      <c r="S43" s="62">
        <f t="shared" si="7"/>
        <v>0</v>
      </c>
      <c r="T43" s="62">
        <f t="shared" si="7"/>
        <v>0</v>
      </c>
      <c r="U43" s="62">
        <f t="shared" si="7"/>
        <v>0</v>
      </c>
      <c r="V43" s="62">
        <f t="shared" si="7"/>
        <v>0</v>
      </c>
      <c r="W43" s="62">
        <f t="shared" si="7"/>
        <v>0</v>
      </c>
      <c r="X43" s="62">
        <f t="shared" si="7"/>
        <v>0</v>
      </c>
      <c r="Y43" s="62">
        <f t="shared" si="7"/>
        <v>0</v>
      </c>
      <c r="Z43" s="62">
        <f t="shared" si="7"/>
        <v>0</v>
      </c>
      <c r="AA43" s="62">
        <f t="shared" si="7"/>
        <v>0</v>
      </c>
      <c r="AB43" s="62">
        <f t="shared" si="7"/>
        <v>0</v>
      </c>
      <c r="AC43" s="62">
        <f t="shared" si="7"/>
        <v>0</v>
      </c>
      <c r="AD43" s="62">
        <f t="shared" si="7"/>
        <v>0</v>
      </c>
      <c r="AE43" s="62">
        <f t="shared" si="7"/>
        <v>0</v>
      </c>
      <c r="AF43" s="62">
        <f t="shared" si="7"/>
        <v>0</v>
      </c>
      <c r="AG43" s="62">
        <f t="shared" si="7"/>
        <v>0</v>
      </c>
      <c r="AH43" s="62">
        <f t="shared" si="7"/>
        <v>-6</v>
      </c>
      <c r="AI43" s="62">
        <f t="shared" si="7"/>
        <v>0</v>
      </c>
      <c r="AJ43" s="62">
        <f t="shared" si="7"/>
        <v>0</v>
      </c>
      <c r="AK43" s="62">
        <f t="shared" si="7"/>
        <v>0</v>
      </c>
      <c r="AL43" s="62">
        <f t="shared" si="7"/>
        <v>0</v>
      </c>
      <c r="AM43" s="62">
        <f t="shared" si="7"/>
        <v>0</v>
      </c>
      <c r="AN43" s="62">
        <f t="shared" si="7"/>
        <v>0</v>
      </c>
      <c r="AO43" s="62">
        <f t="shared" si="7"/>
        <v>0</v>
      </c>
      <c r="AP43" s="62">
        <f t="shared" si="7"/>
        <v>0</v>
      </c>
      <c r="AQ43" s="62">
        <f t="shared" si="7"/>
        <v>0</v>
      </c>
      <c r="AR43" s="62">
        <f t="shared" si="7"/>
        <v>0</v>
      </c>
      <c r="AS43" s="62">
        <f t="shared" si="7"/>
        <v>0</v>
      </c>
      <c r="AT43" s="62">
        <f t="shared" si="7"/>
        <v>0</v>
      </c>
      <c r="AU43" s="62">
        <f t="shared" si="7"/>
        <v>0</v>
      </c>
    </row>
    <row r="44" spans="2:48" x14ac:dyDescent="0.35">
      <c r="H44" s="63"/>
    </row>
    <row r="45" spans="2:48" x14ac:dyDescent="0.35">
      <c r="L45" s="64">
        <f>L40-109</f>
        <v>-109</v>
      </c>
      <c r="AD45" s="55"/>
      <c r="AG45" s="65"/>
      <c r="AH45" s="66"/>
      <c r="AP45" s="56"/>
      <c r="AQ45" s="56"/>
      <c r="AR45" s="56"/>
      <c r="AT45" s="56"/>
      <c r="AU45" s="56"/>
      <c r="AV45" s="56"/>
    </row>
    <row r="46" spans="2:48" x14ac:dyDescent="0.35">
      <c r="J46" s="27"/>
      <c r="Q46" s="24"/>
      <c r="AC46">
        <v>1070</v>
      </c>
      <c r="AD46" s="67"/>
      <c r="AG46" s="68"/>
      <c r="AH46" s="69"/>
      <c r="AP46" s="56"/>
      <c r="AQ46" s="56"/>
      <c r="AR46" s="56"/>
      <c r="AT46" s="56"/>
    </row>
    <row r="47" spans="2:48" ht="16" x14ac:dyDescent="0.35">
      <c r="L47" s="70">
        <f>L45+109</f>
        <v>0</v>
      </c>
      <c r="V47" s="27"/>
      <c r="W47" s="27"/>
      <c r="Z47" s="24"/>
      <c r="AC47">
        <v>976</v>
      </c>
    </row>
    <row r="48" spans="2:48" x14ac:dyDescent="0.35">
      <c r="J48" s="71"/>
      <c r="AC48">
        <f>AC46-AC47</f>
        <v>94</v>
      </c>
    </row>
    <row r="49" spans="8:44" x14ac:dyDescent="0.35">
      <c r="H49" s="66"/>
      <c r="AD49" s="25"/>
    </row>
    <row r="50" spans="8:44" x14ac:dyDescent="0.35">
      <c r="R50" s="24"/>
      <c r="S50" s="24"/>
      <c r="T50" s="24"/>
    </row>
    <row r="59" spans="8:44" x14ac:dyDescent="0.35">
      <c r="AP59">
        <f>24*6</f>
        <v>144</v>
      </c>
      <c r="AQ59">
        <f>300/6</f>
        <v>50</v>
      </c>
    </row>
    <row r="60" spans="8:44" x14ac:dyDescent="0.35">
      <c r="AP60">
        <f>26*6</f>
        <v>156</v>
      </c>
      <c r="AQ60">
        <f>474/6</f>
        <v>79</v>
      </c>
    </row>
    <row r="61" spans="8:44" x14ac:dyDescent="0.35">
      <c r="AP61">
        <f>50*6</f>
        <v>300</v>
      </c>
      <c r="AQ61">
        <f>420/6</f>
        <v>70</v>
      </c>
      <c r="AR61">
        <f>600/6</f>
        <v>100</v>
      </c>
    </row>
    <row r="62" spans="8:44" x14ac:dyDescent="0.35">
      <c r="AP62">
        <f>50*6</f>
        <v>300</v>
      </c>
      <c r="AQ62">
        <f>600/6</f>
        <v>100</v>
      </c>
    </row>
    <row r="65" spans="28:28" x14ac:dyDescent="0.35">
      <c r="AB65">
        <v>5</v>
      </c>
    </row>
    <row r="66" spans="28:28" x14ac:dyDescent="0.35">
      <c r="AB66">
        <v>2</v>
      </c>
    </row>
    <row r="67" spans="28:28" x14ac:dyDescent="0.35">
      <c r="AB67">
        <v>2</v>
      </c>
    </row>
    <row r="68" spans="28:28" x14ac:dyDescent="0.35">
      <c r="AB68">
        <v>2</v>
      </c>
    </row>
    <row r="69" spans="28:28" x14ac:dyDescent="0.35">
      <c r="AB69">
        <v>12</v>
      </c>
    </row>
    <row r="70" spans="28:28" x14ac:dyDescent="0.35">
      <c r="AB70">
        <v>3</v>
      </c>
    </row>
  </sheetData>
  <mergeCells count="6">
    <mergeCell ref="B43:C43"/>
    <mergeCell ref="D5:M5"/>
    <mergeCell ref="N5:V5"/>
    <mergeCell ref="X5:AG5"/>
    <mergeCell ref="AI5:AN5"/>
    <mergeCell ref="AP5:AU5"/>
  </mergeCells>
  <conditionalFormatting sqref="L7:L42 V7:W42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AG7:AH42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AN7:AO42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AT7:AT42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0A44-C4A9-4BD8-A0E7-19428874B652}">
  <dimension ref="C1:L44"/>
  <sheetViews>
    <sheetView workbookViewId="0">
      <selection activeCell="K2" sqref="K2:L2"/>
    </sheetView>
  </sheetViews>
  <sheetFormatPr defaultRowHeight="14.5" x14ac:dyDescent="0.35"/>
  <cols>
    <col min="3" max="3" width="61.453125" customWidth="1"/>
  </cols>
  <sheetData>
    <row r="1" spans="3:12" x14ac:dyDescent="0.35">
      <c r="E1" s="74" t="s">
        <v>55</v>
      </c>
      <c r="F1" s="74"/>
      <c r="G1" s="74" t="s">
        <v>59</v>
      </c>
      <c r="H1" s="74"/>
      <c r="I1" s="74" t="s">
        <v>60</v>
      </c>
      <c r="J1" s="74"/>
      <c r="K1" s="74" t="s">
        <v>52</v>
      </c>
      <c r="L1" s="74"/>
    </row>
    <row r="2" spans="3:12" x14ac:dyDescent="0.35">
      <c r="C2" s="1" t="s">
        <v>1</v>
      </c>
      <c r="D2" s="1"/>
      <c r="E2" s="72" t="s">
        <v>92</v>
      </c>
      <c r="F2" s="73"/>
      <c r="G2" s="72" t="s">
        <v>92</v>
      </c>
      <c r="H2" s="73"/>
      <c r="I2" s="72" t="s">
        <v>92</v>
      </c>
      <c r="J2" s="73"/>
      <c r="K2" s="72" t="s">
        <v>92</v>
      </c>
      <c r="L2" s="73"/>
    </row>
    <row r="3" spans="3:12" x14ac:dyDescent="0.35">
      <c r="C3" s="4" t="s">
        <v>7</v>
      </c>
      <c r="D3" s="4" t="s">
        <v>8</v>
      </c>
      <c r="E3" s="3" t="s">
        <v>9</v>
      </c>
      <c r="F3" s="3" t="s">
        <v>10</v>
      </c>
      <c r="G3" s="3" t="s">
        <v>9</v>
      </c>
      <c r="H3" s="3" t="s">
        <v>10</v>
      </c>
      <c r="I3" s="3" t="s">
        <v>9</v>
      </c>
      <c r="J3" s="3" t="s">
        <v>10</v>
      </c>
      <c r="K3" s="3" t="s">
        <v>9</v>
      </c>
      <c r="L3" s="3" t="s">
        <v>10</v>
      </c>
    </row>
    <row r="4" spans="3:12" x14ac:dyDescent="0.35">
      <c r="C4" s="6" t="s">
        <v>11</v>
      </c>
      <c r="D4" s="7">
        <v>12</v>
      </c>
      <c r="E4" s="8"/>
      <c r="F4" s="8"/>
      <c r="G4" s="8"/>
      <c r="H4" s="8"/>
      <c r="I4" s="8"/>
      <c r="J4" s="8"/>
      <c r="K4" s="8"/>
      <c r="L4" s="8"/>
    </row>
    <row r="5" spans="3:12" x14ac:dyDescent="0.35">
      <c r="C5" s="6" t="s">
        <v>12</v>
      </c>
      <c r="D5" s="7">
        <v>12</v>
      </c>
      <c r="E5" s="8"/>
      <c r="F5" s="8"/>
      <c r="G5" s="8"/>
      <c r="H5" s="8"/>
      <c r="I5" s="8"/>
      <c r="J5" s="8"/>
      <c r="K5" s="8"/>
      <c r="L5" s="8"/>
    </row>
    <row r="6" spans="3:12" x14ac:dyDescent="0.35">
      <c r="C6" s="6" t="s">
        <v>13</v>
      </c>
      <c r="D6" s="7">
        <v>6</v>
      </c>
      <c r="E6" s="8"/>
      <c r="F6" s="8"/>
      <c r="G6" s="8"/>
      <c r="H6" s="8"/>
      <c r="I6" s="8"/>
      <c r="J6" s="8"/>
      <c r="K6" s="8"/>
      <c r="L6" s="8"/>
    </row>
    <row r="7" spans="3:12" x14ac:dyDescent="0.35">
      <c r="C7" s="6" t="s">
        <v>14</v>
      </c>
      <c r="D7" s="7">
        <v>12</v>
      </c>
      <c r="E7" s="8"/>
      <c r="F7" s="8"/>
      <c r="G7" s="8"/>
      <c r="H7" s="8"/>
      <c r="I7" s="8"/>
      <c r="J7" s="8"/>
      <c r="K7" s="8"/>
      <c r="L7" s="8"/>
    </row>
    <row r="8" spans="3:12" x14ac:dyDescent="0.35">
      <c r="C8" s="6" t="s">
        <v>15</v>
      </c>
      <c r="D8" s="7">
        <v>6</v>
      </c>
      <c r="E8" s="8"/>
      <c r="F8" s="8"/>
      <c r="G8" s="8"/>
      <c r="H8" s="8"/>
      <c r="I8" s="8"/>
      <c r="J8" s="8"/>
      <c r="K8" s="8"/>
      <c r="L8" s="8"/>
    </row>
    <row r="9" spans="3:12" x14ac:dyDescent="0.35">
      <c r="C9" s="6" t="s">
        <v>16</v>
      </c>
      <c r="D9" s="7">
        <v>6</v>
      </c>
      <c r="E9" s="8"/>
      <c r="F9" s="8"/>
      <c r="G9" s="8"/>
      <c r="H9" s="8"/>
      <c r="I9" s="8"/>
      <c r="J9" s="8"/>
      <c r="K9" s="8"/>
      <c r="L9" s="8"/>
    </row>
    <row r="10" spans="3:12" x14ac:dyDescent="0.35">
      <c r="C10" s="11" t="s">
        <v>17</v>
      </c>
      <c r="D10" s="7">
        <v>6</v>
      </c>
      <c r="E10" s="8"/>
      <c r="F10" s="8"/>
      <c r="G10" s="8"/>
      <c r="H10" s="8"/>
      <c r="I10" s="8"/>
      <c r="J10" s="8"/>
      <c r="K10" s="8"/>
      <c r="L10" s="8"/>
    </row>
    <row r="11" spans="3:12" x14ac:dyDescent="0.35">
      <c r="C11" s="6" t="s">
        <v>18</v>
      </c>
      <c r="D11" s="7">
        <v>6</v>
      </c>
      <c r="E11" s="8"/>
      <c r="F11" s="8"/>
      <c r="G11" s="8"/>
      <c r="H11" s="8"/>
      <c r="I11" s="8"/>
      <c r="J11" s="8"/>
      <c r="K11" s="8"/>
      <c r="L11" s="8"/>
    </row>
    <row r="12" spans="3:12" x14ac:dyDescent="0.35">
      <c r="C12" s="6" t="s">
        <v>19</v>
      </c>
      <c r="D12" s="7">
        <v>6</v>
      </c>
      <c r="E12" s="8"/>
      <c r="F12" s="8"/>
      <c r="G12" s="8"/>
      <c r="H12" s="8"/>
      <c r="I12" s="8"/>
      <c r="J12" s="8"/>
      <c r="K12" s="8"/>
      <c r="L12" s="8"/>
    </row>
    <row r="13" spans="3:12" x14ac:dyDescent="0.35">
      <c r="C13" s="7" t="s">
        <v>20</v>
      </c>
      <c r="D13" s="7">
        <v>6</v>
      </c>
      <c r="E13" s="8"/>
      <c r="F13" s="8"/>
      <c r="G13" s="8"/>
      <c r="H13" s="8"/>
      <c r="I13" s="8"/>
      <c r="J13" s="8"/>
      <c r="K13" s="8"/>
      <c r="L13" s="8"/>
    </row>
    <row r="14" spans="3:12" x14ac:dyDescent="0.35">
      <c r="C14" s="6" t="s">
        <v>21</v>
      </c>
      <c r="D14" s="7">
        <v>12</v>
      </c>
      <c r="E14" s="8"/>
      <c r="F14" s="8"/>
      <c r="G14" s="8"/>
      <c r="H14" s="8"/>
      <c r="I14" s="8"/>
      <c r="J14" s="8"/>
      <c r="K14" s="8"/>
      <c r="L14" s="8"/>
    </row>
    <row r="15" spans="3:12" x14ac:dyDescent="0.35">
      <c r="C15" s="6" t="s">
        <v>22</v>
      </c>
      <c r="D15" s="7">
        <v>24</v>
      </c>
      <c r="E15" s="8"/>
      <c r="F15" s="8"/>
      <c r="G15" s="8"/>
      <c r="H15" s="8"/>
      <c r="I15" s="8"/>
      <c r="J15" s="8"/>
      <c r="K15" s="8"/>
      <c r="L15" s="8"/>
    </row>
    <row r="16" spans="3:12" x14ac:dyDescent="0.35">
      <c r="C16" s="6" t="s">
        <v>23</v>
      </c>
      <c r="D16" s="7">
        <v>12</v>
      </c>
      <c r="E16" s="8"/>
      <c r="F16" s="8"/>
      <c r="G16" s="8"/>
      <c r="H16" s="8"/>
      <c r="I16" s="8"/>
      <c r="J16" s="8"/>
      <c r="K16" s="8"/>
      <c r="L16" s="8"/>
    </row>
    <row r="17" spans="3:12" x14ac:dyDescent="0.35">
      <c r="C17" s="6" t="s">
        <v>24</v>
      </c>
      <c r="D17" s="7">
        <v>6</v>
      </c>
      <c r="E17" s="8"/>
      <c r="F17" s="8"/>
      <c r="G17" s="8"/>
      <c r="H17" s="8"/>
      <c r="I17" s="8"/>
      <c r="J17" s="8"/>
      <c r="K17" s="8"/>
      <c r="L17" s="8"/>
    </row>
    <row r="18" spans="3:12" x14ac:dyDescent="0.35">
      <c r="C18" s="6" t="s">
        <v>25</v>
      </c>
      <c r="D18" s="7">
        <v>12</v>
      </c>
      <c r="E18" s="8"/>
      <c r="F18" s="8"/>
      <c r="G18" s="8"/>
      <c r="H18" s="8"/>
      <c r="I18" s="8"/>
      <c r="J18" s="8"/>
      <c r="K18" s="8"/>
      <c r="L18" s="8"/>
    </row>
    <row r="19" spans="3:12" x14ac:dyDescent="0.35">
      <c r="C19" s="6" t="s">
        <v>26</v>
      </c>
      <c r="D19" s="7">
        <v>48</v>
      </c>
      <c r="E19" s="8"/>
      <c r="F19" s="8"/>
      <c r="G19" s="8"/>
      <c r="H19" s="8"/>
      <c r="I19" s="8"/>
      <c r="J19" s="8"/>
      <c r="K19" s="8"/>
      <c r="L19" s="8"/>
    </row>
    <row r="20" spans="3:12" x14ac:dyDescent="0.35">
      <c r="C20" s="6" t="s">
        <v>27</v>
      </c>
      <c r="D20" s="7">
        <v>6</v>
      </c>
      <c r="E20" s="8"/>
      <c r="F20" s="8"/>
      <c r="G20" s="8"/>
      <c r="H20" s="8"/>
      <c r="I20" s="8"/>
      <c r="J20" s="8"/>
      <c r="K20" s="8"/>
      <c r="L20" s="8"/>
    </row>
    <row r="21" spans="3:12" x14ac:dyDescent="0.35">
      <c r="C21" s="6" t="s">
        <v>28</v>
      </c>
      <c r="D21" s="7">
        <v>3</v>
      </c>
      <c r="E21" s="8"/>
      <c r="F21" s="8"/>
      <c r="G21" s="8"/>
      <c r="H21" s="8"/>
      <c r="I21" s="8"/>
      <c r="J21" s="8"/>
      <c r="K21" s="8"/>
      <c r="L21" s="8"/>
    </row>
    <row r="22" spans="3:12" x14ac:dyDescent="0.35">
      <c r="C22" s="6" t="s">
        <v>29</v>
      </c>
      <c r="D22" s="7">
        <v>6</v>
      </c>
      <c r="E22" s="8"/>
      <c r="F22" s="8"/>
      <c r="G22" s="8"/>
      <c r="H22" s="8"/>
      <c r="I22" s="8"/>
      <c r="J22" s="8"/>
      <c r="K22" s="8"/>
      <c r="L22" s="8"/>
    </row>
    <row r="23" spans="3:12" x14ac:dyDescent="0.35">
      <c r="C23" s="6" t="s">
        <v>30</v>
      </c>
      <c r="D23" s="7">
        <v>6</v>
      </c>
      <c r="E23" s="8"/>
      <c r="F23" s="8"/>
      <c r="G23" s="8"/>
      <c r="H23" s="8"/>
      <c r="I23" s="8"/>
      <c r="J23" s="8"/>
      <c r="K23" s="8"/>
      <c r="L23" s="8"/>
    </row>
    <row r="24" spans="3:12" x14ac:dyDescent="0.35">
      <c r="C24" s="6" t="s">
        <v>31</v>
      </c>
      <c r="D24" s="7">
        <v>12</v>
      </c>
      <c r="E24" s="8"/>
      <c r="F24" s="8"/>
      <c r="G24" s="8"/>
      <c r="H24" s="8"/>
      <c r="I24" s="8"/>
      <c r="J24" s="8"/>
      <c r="K24" s="8"/>
      <c r="L24" s="8"/>
    </row>
    <row r="25" spans="3:12" x14ac:dyDescent="0.35">
      <c r="C25" s="6" t="s">
        <v>32</v>
      </c>
      <c r="D25" s="7">
        <v>48</v>
      </c>
      <c r="E25" s="8"/>
      <c r="F25" s="8"/>
      <c r="G25" s="8"/>
      <c r="H25" s="8"/>
      <c r="I25" s="8"/>
      <c r="J25" s="8"/>
      <c r="K25" s="8"/>
      <c r="L25" s="8"/>
    </row>
    <row r="26" spans="3:12" x14ac:dyDescent="0.35">
      <c r="C26" s="6" t="s">
        <v>33</v>
      </c>
      <c r="D26" s="7">
        <v>12</v>
      </c>
      <c r="E26" s="8"/>
      <c r="F26" s="8"/>
      <c r="G26" s="8"/>
      <c r="H26" s="8"/>
      <c r="I26" s="8"/>
      <c r="J26" s="8"/>
      <c r="K26" s="8"/>
      <c r="L26" s="8"/>
    </row>
    <row r="27" spans="3:12" x14ac:dyDescent="0.35">
      <c r="C27" s="6" t="s">
        <v>34</v>
      </c>
      <c r="D27" s="7">
        <v>6</v>
      </c>
      <c r="E27" s="8"/>
      <c r="F27" s="8"/>
      <c r="G27" s="8"/>
      <c r="H27" s="8"/>
      <c r="I27" s="8"/>
      <c r="J27" s="8"/>
      <c r="K27" s="8"/>
      <c r="L27" s="8"/>
    </row>
    <row r="28" spans="3:12" x14ac:dyDescent="0.35">
      <c r="C28" s="6" t="s">
        <v>35</v>
      </c>
      <c r="D28" s="7">
        <v>6</v>
      </c>
      <c r="E28" s="8"/>
      <c r="F28" s="8"/>
      <c r="G28" s="8"/>
      <c r="H28" s="8"/>
      <c r="I28" s="8"/>
      <c r="J28" s="8"/>
      <c r="K28" s="8"/>
      <c r="L28" s="8"/>
    </row>
    <row r="29" spans="3:12" x14ac:dyDescent="0.35">
      <c r="C29" s="6" t="s">
        <v>36</v>
      </c>
      <c r="D29" s="7">
        <v>6</v>
      </c>
      <c r="E29" s="8"/>
      <c r="F29" s="8"/>
      <c r="G29" s="8"/>
      <c r="H29" s="8"/>
      <c r="I29" s="8"/>
      <c r="J29" s="8"/>
      <c r="K29" s="8"/>
      <c r="L29" s="8"/>
    </row>
    <row r="30" spans="3:12" x14ac:dyDescent="0.35">
      <c r="C30" s="6" t="s">
        <v>37</v>
      </c>
      <c r="D30" s="7">
        <v>48</v>
      </c>
      <c r="E30" s="8"/>
      <c r="F30" s="8"/>
      <c r="G30" s="8"/>
      <c r="H30" s="8"/>
      <c r="I30" s="8"/>
      <c r="J30" s="8"/>
      <c r="K30" s="8"/>
      <c r="L30" s="8"/>
    </row>
    <row r="31" spans="3:12" x14ac:dyDescent="0.35">
      <c r="C31" s="6" t="s">
        <v>38</v>
      </c>
      <c r="D31" s="7">
        <v>6</v>
      </c>
      <c r="E31" s="8"/>
      <c r="F31" s="8"/>
      <c r="G31" s="8"/>
      <c r="H31" s="8"/>
      <c r="I31" s="8"/>
      <c r="J31" s="8"/>
      <c r="K31" s="8"/>
      <c r="L31" s="8"/>
    </row>
    <row r="32" spans="3:12" x14ac:dyDescent="0.35">
      <c r="C32" s="6" t="s">
        <v>39</v>
      </c>
      <c r="D32" s="7">
        <v>12</v>
      </c>
      <c r="E32" s="8"/>
      <c r="F32" s="8"/>
      <c r="G32" s="8"/>
      <c r="H32" s="8"/>
      <c r="I32" s="8"/>
      <c r="J32" s="8"/>
      <c r="K32" s="8"/>
      <c r="L32" s="8"/>
    </row>
    <row r="33" spans="3:12" x14ac:dyDescent="0.35">
      <c r="C33" s="6" t="s">
        <v>40</v>
      </c>
      <c r="D33" s="7">
        <v>6</v>
      </c>
      <c r="E33" s="8"/>
      <c r="F33" s="8"/>
      <c r="G33" s="8"/>
      <c r="H33" s="8"/>
      <c r="I33" s="8"/>
      <c r="J33" s="8"/>
      <c r="K33" s="8"/>
      <c r="L33" s="8"/>
    </row>
    <row r="34" spans="3:12" x14ac:dyDescent="0.35">
      <c r="C34" s="6" t="s">
        <v>41</v>
      </c>
      <c r="D34" s="7">
        <v>6</v>
      </c>
      <c r="E34" s="8"/>
      <c r="F34" s="8"/>
      <c r="G34" s="8"/>
      <c r="H34" s="8"/>
      <c r="I34" s="8"/>
      <c r="J34" s="8"/>
      <c r="K34" s="8"/>
      <c r="L34" s="8"/>
    </row>
    <row r="35" spans="3:12" x14ac:dyDescent="0.35">
      <c r="C35" s="13" t="s">
        <v>42</v>
      </c>
      <c r="D35" s="7">
        <v>6</v>
      </c>
      <c r="E35" s="8"/>
      <c r="F35" s="8"/>
      <c r="G35" s="8"/>
      <c r="H35" s="8"/>
      <c r="I35" s="8"/>
      <c r="J35" s="8"/>
      <c r="K35" s="8"/>
      <c r="L35" s="8"/>
    </row>
    <row r="36" spans="3:12" x14ac:dyDescent="0.35">
      <c r="C36" s="7" t="s">
        <v>43</v>
      </c>
      <c r="D36" s="7">
        <v>6</v>
      </c>
      <c r="E36" s="8"/>
      <c r="F36" s="8"/>
      <c r="G36" s="8"/>
      <c r="H36" s="8"/>
      <c r="I36" s="8"/>
      <c r="J36" s="8"/>
      <c r="K36" s="8"/>
      <c r="L36" s="8"/>
    </row>
    <row r="37" spans="3:12" x14ac:dyDescent="0.35">
      <c r="C37" s="7" t="s">
        <v>44</v>
      </c>
      <c r="D37" s="7">
        <v>6</v>
      </c>
      <c r="E37" s="8"/>
      <c r="F37" s="8"/>
      <c r="G37" s="8"/>
      <c r="H37" s="8"/>
      <c r="I37" s="8"/>
      <c r="J37" s="8"/>
      <c r="K37" s="8"/>
      <c r="L37" s="8"/>
    </row>
    <row r="38" spans="3:12" x14ac:dyDescent="0.35">
      <c r="C38" s="14" t="s">
        <v>45</v>
      </c>
      <c r="D38" s="14">
        <v>6</v>
      </c>
      <c r="E38" s="8"/>
      <c r="F38" s="8"/>
      <c r="G38" s="8"/>
      <c r="H38" s="8"/>
      <c r="I38" s="8"/>
      <c r="J38" s="8"/>
      <c r="K38" s="8"/>
      <c r="L38" s="8"/>
    </row>
    <row r="39" spans="3:12" x14ac:dyDescent="0.35">
      <c r="C39" s="14" t="s">
        <v>46</v>
      </c>
      <c r="D39" s="14">
        <v>4</v>
      </c>
      <c r="E39" s="8"/>
      <c r="F39" s="8"/>
      <c r="G39" s="8"/>
      <c r="H39" s="8"/>
      <c r="I39" s="8"/>
      <c r="J39" s="8"/>
      <c r="K39" s="8"/>
      <c r="L39" s="8"/>
    </row>
    <row r="40" spans="3:12" x14ac:dyDescent="0.35">
      <c r="C40" s="14" t="s">
        <v>47</v>
      </c>
      <c r="D40" s="14">
        <v>12</v>
      </c>
      <c r="E40" s="8"/>
      <c r="F40" s="8"/>
      <c r="G40" s="8"/>
      <c r="H40" s="8"/>
      <c r="I40" s="8"/>
      <c r="J40" s="8"/>
      <c r="K40" s="8"/>
      <c r="L40" s="8"/>
    </row>
    <row r="41" spans="3:12" ht="16" x14ac:dyDescent="0.4">
      <c r="C41" s="15" t="s">
        <v>48</v>
      </c>
      <c r="D41" s="14">
        <v>12</v>
      </c>
      <c r="E41" s="8"/>
      <c r="F41" s="8"/>
      <c r="G41" s="8"/>
      <c r="H41" s="8"/>
      <c r="I41" s="8"/>
      <c r="J41" s="8"/>
      <c r="K41" s="8"/>
      <c r="L41" s="8"/>
    </row>
    <row r="42" spans="3:12" x14ac:dyDescent="0.35">
      <c r="C42" s="14" t="s">
        <v>49</v>
      </c>
      <c r="D42" s="14">
        <v>6</v>
      </c>
      <c r="E42" s="8"/>
      <c r="F42" s="8"/>
      <c r="G42" s="8"/>
      <c r="H42" s="8"/>
      <c r="I42" s="8"/>
      <c r="J42" s="8"/>
      <c r="K42" s="8"/>
      <c r="L42" s="8"/>
    </row>
    <row r="43" spans="3:12" x14ac:dyDescent="0.35">
      <c r="C43" s="14" t="s">
        <v>50</v>
      </c>
      <c r="D43" s="14"/>
      <c r="E43" s="8"/>
      <c r="F43" s="8"/>
      <c r="G43" s="8"/>
      <c r="H43" s="8"/>
      <c r="I43" s="8"/>
      <c r="J43" s="8"/>
      <c r="K43" s="8"/>
      <c r="L43" s="8"/>
    </row>
    <row r="44" spans="3:12" x14ac:dyDescent="0.35">
      <c r="C44" s="7" t="s">
        <v>51</v>
      </c>
      <c r="D44" s="7">
        <v>3</v>
      </c>
      <c r="E44" s="8"/>
      <c r="F44" s="8"/>
      <c r="G44" s="8"/>
      <c r="H44" s="8"/>
      <c r="I44" s="8"/>
      <c r="J44" s="8"/>
      <c r="K44" s="8"/>
      <c r="L44" s="8"/>
    </row>
  </sheetData>
  <mergeCells count="8">
    <mergeCell ref="E2:F2"/>
    <mergeCell ref="G2:H2"/>
    <mergeCell ref="I2:J2"/>
    <mergeCell ref="K2:L2"/>
    <mergeCell ref="E1:F1"/>
    <mergeCell ref="G1:H1"/>
    <mergeCell ref="I1:J1"/>
    <mergeCell ref="K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Stock Report</vt:lpstr>
      <vt:lpstr>System Report</vt:lpstr>
      <vt:lpstr>phy vs system</vt:lpstr>
      <vt:lpstr>pending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Iliyas</dc:creator>
  <cp:lastModifiedBy>Sadhasivam VM</cp:lastModifiedBy>
  <dcterms:created xsi:type="dcterms:W3CDTF">2026-06-25T11:06:46Z</dcterms:created>
  <dcterms:modified xsi:type="dcterms:W3CDTF">2026-07-03T07:24:28Z</dcterms:modified>
</cp:coreProperties>
</file>